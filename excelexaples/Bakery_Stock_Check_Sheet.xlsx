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G:\Chris Home\Downloads\"/>
    </mc:Choice>
  </mc:AlternateContent>
  <xr:revisionPtr revIDLastSave="0" documentId="8_{5543FFD9-3BD7-4927-B7E8-E5404A7FBF0D}" xr6:coauthVersionLast="47" xr6:coauthVersionMax="47" xr10:uidLastSave="{00000000-0000-0000-0000-000000000000}"/>
  <bookViews>
    <workbookView xWindow="-28920" yWindow="-120" windowWidth="29040" windowHeight="16440" tabRatio="500" xr2:uid="{00000000-000D-0000-FFFF-FFFF00000000}"/>
  </bookViews>
  <sheets>
    <sheet name="Session Sheet" sheetId="1" r:id="rId1"/>
    <sheet name="Min Stock" sheetId="2" r:id="rId2"/>
    <sheet name="Recipes" sheetId="3" r:id="rId3"/>
    <sheet name="How to Use" sheetId="4" r:id="rId4"/>
  </sheets>
  <definedNames>
    <definedName name="_xlnm.Print_Area" localSheetId="0">'Session Sheet'!$A$1:$G$37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6" i="2" l="1"/>
  <c r="I6" i="2" s="1"/>
  <c r="C15" i="1"/>
  <c r="K22" i="2"/>
  <c r="G22" i="2"/>
  <c r="I22" i="2" s="1"/>
  <c r="K21" i="2"/>
  <c r="G21" i="2"/>
  <c r="I21" i="2" s="1"/>
  <c r="K20" i="2"/>
  <c r="I20" i="2"/>
  <c r="J20" i="2" s="1"/>
  <c r="G20" i="2"/>
  <c r="K19" i="2"/>
  <c r="I19" i="2"/>
  <c r="J19" i="2" s="1"/>
  <c r="G19" i="2"/>
  <c r="K18" i="2"/>
  <c r="I18" i="2"/>
  <c r="J18" i="2" s="1"/>
  <c r="G18" i="2"/>
  <c r="K17" i="2"/>
  <c r="I17" i="2"/>
  <c r="J17" i="2" s="1"/>
  <c r="G17" i="2"/>
  <c r="K16" i="2"/>
  <c r="I16" i="2"/>
  <c r="J16" i="2" s="1"/>
  <c r="G16" i="2"/>
  <c r="K15" i="2"/>
  <c r="I15" i="2"/>
  <c r="J15" i="2" s="1"/>
  <c r="G15" i="2"/>
  <c r="K14" i="2"/>
  <c r="I14" i="2"/>
  <c r="J14" i="2" s="1"/>
  <c r="G14" i="2"/>
  <c r="K13" i="2"/>
  <c r="I13" i="2"/>
  <c r="J13" i="2" s="1"/>
  <c r="G13" i="2"/>
  <c r="K12" i="2"/>
  <c r="I12" i="2"/>
  <c r="J12" i="2" s="1"/>
  <c r="G12" i="2"/>
  <c r="K11" i="2"/>
  <c r="I11" i="2"/>
  <c r="J11" i="2" s="1"/>
  <c r="G11" i="2"/>
  <c r="K10" i="2"/>
  <c r="I10" i="2"/>
  <c r="J10" i="2" s="1"/>
  <c r="G10" i="2"/>
  <c r="K9" i="2"/>
  <c r="I9" i="2"/>
  <c r="J9" i="2" s="1"/>
  <c r="G9" i="2"/>
  <c r="K8" i="2"/>
  <c r="I8" i="2"/>
  <c r="J8" i="2" s="1"/>
  <c r="G8" i="2"/>
  <c r="K7" i="2"/>
  <c r="I7" i="2"/>
  <c r="J7" i="2" s="1"/>
  <c r="G7" i="2"/>
  <c r="K6" i="2"/>
  <c r="K5" i="2"/>
  <c r="I5" i="2"/>
  <c r="J5" i="2" s="1"/>
  <c r="G5" i="2"/>
  <c r="F32" i="1"/>
  <c r="G32" i="1" s="1"/>
  <c r="B32" i="1"/>
  <c r="A32" i="1"/>
  <c r="F31" i="1"/>
  <c r="G31" i="1" s="1"/>
  <c r="B31" i="1"/>
  <c r="A31" i="1"/>
  <c r="F30" i="1"/>
  <c r="G30" i="1" s="1"/>
  <c r="B30" i="1"/>
  <c r="A30" i="1"/>
  <c r="F29" i="1"/>
  <c r="G29" i="1" s="1"/>
  <c r="C29" i="1"/>
  <c r="B29" i="1"/>
  <c r="A29" i="1"/>
  <c r="F28" i="1"/>
  <c r="G28" i="1" s="1"/>
  <c r="C28" i="1"/>
  <c r="B28" i="1"/>
  <c r="A28" i="1"/>
  <c r="G27" i="1"/>
  <c r="F27" i="1"/>
  <c r="C27" i="1"/>
  <c r="B27" i="1"/>
  <c r="A27" i="1"/>
  <c r="G26" i="1"/>
  <c r="F26" i="1"/>
  <c r="C26" i="1"/>
  <c r="B26" i="1"/>
  <c r="A26" i="1"/>
  <c r="G25" i="1"/>
  <c r="F25" i="1"/>
  <c r="C25" i="1"/>
  <c r="B25" i="1"/>
  <c r="A25" i="1"/>
  <c r="G24" i="1"/>
  <c r="F24" i="1"/>
  <c r="C24" i="1"/>
  <c r="B24" i="1"/>
  <c r="A24" i="1"/>
  <c r="F23" i="1"/>
  <c r="G23" i="1" s="1"/>
  <c r="C23" i="1"/>
  <c r="B23" i="1"/>
  <c r="A23" i="1"/>
  <c r="F22" i="1"/>
  <c r="G22" i="1" s="1"/>
  <c r="C22" i="1"/>
  <c r="B22" i="1"/>
  <c r="A22" i="1"/>
  <c r="F21" i="1"/>
  <c r="G21" i="1" s="1"/>
  <c r="C21" i="1"/>
  <c r="B21" i="1"/>
  <c r="A21" i="1"/>
  <c r="F20" i="1"/>
  <c r="G20" i="1" s="1"/>
  <c r="C20" i="1"/>
  <c r="B20" i="1"/>
  <c r="A20" i="1"/>
  <c r="G19" i="1"/>
  <c r="F19" i="1"/>
  <c r="C19" i="1"/>
  <c r="B19" i="1"/>
  <c r="A19" i="1"/>
  <c r="G18" i="1"/>
  <c r="F18" i="1"/>
  <c r="C18" i="1"/>
  <c r="B18" i="1"/>
  <c r="A18" i="1"/>
  <c r="G17" i="1"/>
  <c r="F17" i="1"/>
  <c r="C17" i="1"/>
  <c r="B17" i="1"/>
  <c r="A17" i="1"/>
  <c r="F16" i="1"/>
  <c r="G16" i="1" s="1"/>
  <c r="B16" i="1"/>
  <c r="A16" i="1"/>
  <c r="F15" i="1"/>
  <c r="G15" i="1" s="1"/>
  <c r="B15" i="1"/>
  <c r="A15" i="1"/>
  <c r="J6" i="2" l="1"/>
  <c r="C16" i="1"/>
  <c r="J21" i="2"/>
  <c r="C31" i="1"/>
  <c r="J22" i="2"/>
  <c r="C32" i="1"/>
  <c r="C30" i="1"/>
</calcChain>
</file>

<file path=xl/sharedStrings.xml><?xml version="1.0" encoding="utf-8"?>
<sst xmlns="http://schemas.openxmlformats.org/spreadsheetml/2006/main" count="177" uniqueCount="100">
  <si>
    <t>BAKING STOCK CHECK SHEET</t>
  </si>
  <si>
    <t>Fill in BEFORE the bake and AFTER the bake. Next session's BEFORE = this sheet's AFTER.</t>
  </si>
  <si>
    <t>Date:</t>
  </si>
  <si>
    <t>Baker:</t>
  </si>
  <si>
    <t>Sheet No:</t>
  </si>
  <si>
    <t>Checked by:</t>
  </si>
  <si>
    <t>WHAT WAS BAKED? (tick)</t>
  </si>
  <si>
    <t>Batches</t>
  </si>
  <si>
    <t>Units made</t>
  </si>
  <si>
    <t>☐  Oat &amp; Raisin Cookies</t>
  </si>
  <si>
    <t>☐  Chocolate Chip Cookies</t>
  </si>
  <si>
    <t>☐  Strawberry Jam Tarts</t>
  </si>
  <si>
    <t>☐  Dark Choc Chip Cookies</t>
  </si>
  <si>
    <t>☐  Oatmeal Pies</t>
  </si>
  <si>
    <t>Ingredient</t>
  </si>
  <si>
    <t>Unit</t>
  </si>
  <si>
    <t>MIN STOCK</t>
  </si>
  <si>
    <t>BEFORE bake
(amount in stock)</t>
  </si>
  <si>
    <t>USED in bake</t>
  </si>
  <si>
    <t>AFTER bake
(Before - Used)</t>
  </si>
  <si>
    <t>BUY?</t>
  </si>
  <si>
    <t>Notes / spillage / wastage:</t>
  </si>
  <si>
    <t>Units: g = grams | ml = millilitres | eggs = count. Ingredient at or below MIN STOCK after bake = mark BUY and add to shopping list. Weigh in grams (1 kg = 1,000 g).</t>
  </si>
  <si>
    <t>Minimum Stock Levels - Reorder Trigger</t>
  </si>
  <si>
    <t>Rule: minimum = enough for a DOUBLE batch of Oat &amp; Raisin AND a DOUBLE batch of Choc Chip (2 x (Oat&amp;Raisin + Choc Chip)). Items used by neither (jam, cornflour, icing sugar for tarts/pies, cinnamon, oil) use a double batch of the biggest recipe that uses them. Type a number in the yellow 'Your Override' column to set your own minimum.</t>
  </si>
  <si>
    <t>Category</t>
  </si>
  <si>
    <t>Pack Size</t>
  </si>
  <si>
    <t>Pack Price (E)</t>
  </si>
  <si>
    <t>Supplier</t>
  </si>
  <si>
    <t>Calculated Min</t>
  </si>
  <si>
    <t>Your Override</t>
  </si>
  <si>
    <t>MIN STOCK (used)</t>
  </si>
  <si>
    <t>Packs to Buy Back to Min*</t>
  </si>
  <si>
    <t>Cost per Unit (E)</t>
  </si>
  <si>
    <t>Note</t>
  </si>
  <si>
    <t>Baker's Pride Flour</t>
  </si>
  <si>
    <t>Dry goods</t>
  </si>
  <si>
    <t>g</t>
  </si>
  <si>
    <t>Baker's Pride</t>
  </si>
  <si>
    <t>Granulated Sugar</t>
  </si>
  <si>
    <t>Preserves</t>
  </si>
  <si>
    <t>Shoprite</t>
  </si>
  <si>
    <t>Not in any recipe - set your own minimum in yellow</t>
  </si>
  <si>
    <t>Castor Sugar</t>
  </si>
  <si>
    <t>Icing Sugar</t>
  </si>
  <si>
    <t>Wright Oats</t>
  </si>
  <si>
    <t>Safari Raisins</t>
  </si>
  <si>
    <t>Fruit</t>
  </si>
  <si>
    <t>Safari</t>
  </si>
  <si>
    <t>Chocolate Chips</t>
  </si>
  <si>
    <t>Chocolate</t>
  </si>
  <si>
    <t>Callebaut</t>
  </si>
  <si>
    <t>Royal Baking Powder</t>
  </si>
  <si>
    <t>Raising agents</t>
  </si>
  <si>
    <t>Royal</t>
  </si>
  <si>
    <t>Bicarbonate of Soda</t>
  </si>
  <si>
    <t>Cerebos Iodated Salt</t>
  </si>
  <si>
    <t>Ina Paarman Cinnamon</t>
  </si>
  <si>
    <t>Spices</t>
  </si>
  <si>
    <t>Sunshine Margarine</t>
  </si>
  <si>
    <t>Fats</t>
  </si>
  <si>
    <t>Sunshine</t>
  </si>
  <si>
    <t>Sunfoil Cooking Oil</t>
  </si>
  <si>
    <t>ml</t>
  </si>
  <si>
    <t>Full Cream Milk</t>
  </si>
  <si>
    <t>Dairy</t>
  </si>
  <si>
    <t>Large Eggs</t>
  </si>
  <si>
    <t>each</t>
  </si>
  <si>
    <t>Brown &amp; Polson Vanilla Essence</t>
  </si>
  <si>
    <t>Flavourings</t>
  </si>
  <si>
    <t>AG Jam</t>
  </si>
  <si>
    <t>AG Foods</t>
  </si>
  <si>
    <t>Ivor Cornflour</t>
  </si>
  <si>
    <t>*Packs to Buy = how many packs cover one full minimum level (guide only). Blue = typed-in from your price list. Pack sizes/prices from your supplier list.</t>
  </si>
  <si>
    <t>Recipe quantities per 1 batch (from your recipes)</t>
  </si>
  <si>
    <t>Blue = typed-in from your recipes. Edit here if a recipe changes; Min Stock updates automatically.</t>
  </si>
  <si>
    <t>Oat &amp; Raisin Cookies</t>
  </si>
  <si>
    <t>Chocolate Chip Cookies</t>
  </si>
  <si>
    <t>Strawberry Jam Tarts</t>
  </si>
  <si>
    <t>Dark Choc Chip Cookies</t>
  </si>
  <si>
    <t>Oatmeal Pies</t>
  </si>
  <si>
    <t>Yield per batch</t>
  </si>
  <si>
    <t>24 cookies</t>
  </si>
  <si>
    <t>25 cookies</t>
  </si>
  <si>
    <t>15 tarts</t>
  </si>
  <si>
    <t>24 cookies = 12 pies</t>
  </si>
  <si>
    <t>Note: Jam Tarts (85 g) and Oatmeal Pies (200 g) each list an 'Unknown' ingredient in your recipe - not included here. Add a row once you confirm what it is (likely a fat such as margarine).</t>
  </si>
  <si>
    <t>HOW TO USE THIS WORKBOOK</t>
  </si>
  <si>
    <t>1. PRINT the 'Session Sheet' tab (1 page, A4). Print one copy per bake session.</t>
  </si>
  <si>
    <t>2. BEFORE baking: the baker weighs/counts what is in stock and writes it in the BEFORE column (use the previous sheet's AFTER as a check).</t>
  </si>
  <si>
    <t>3. Tick which recipe(s) were baked, and write the number of batches and units made.</t>
  </si>
  <si>
    <t>4. AFTER baking: write how much of each ingredient was USED, then AFTER = BEFORE - USED.</t>
  </si>
  <si>
    <t>5. If AFTER is at or below MIN STOCK (grey column) write BUY - it goes on the shopping list.</t>
  </si>
  <si>
    <t>6. Change minimums any time on the 'Min Stock' tab (yellow column). Change recipes on the 'Recipes' tab.</t>
  </si>
  <si>
    <t>WORKED EXAMPLE (for illustration only - not on the print sheet)</t>
  </si>
  <si>
    <t>Baker's Pride Flour:  BEFORE 4,000 g  |  Choc Chip batch used 500 g  |  AFTER = 3,500 g  |  Minimum is 1,900 g so no need to buy yet.</t>
  </si>
  <si>
    <t>Large Eggs:  BEFORE 14  |  USED 6 (2 batches)  |  AFTER = 8  |  Minimum is 12 eggs, so 8 is at/below minimum =&gt; write BUY.</t>
  </si>
  <si>
    <t>EDITABLE CELLS: blue text = typed-in numbers (prices, recipe amounts), yellow fill = your override minimums.</t>
  </si>
  <si>
    <t>If you fill the Session Sheet on a computer, AFTER and BUY? calculate automatically.</t>
  </si>
  <si>
    <t>ASSUMPTION: minimum = double batch of Oat &amp; Raisin + double batch of Choc Chip together (from your instruction).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</si>
</sst>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E#,##0.00"/>
    <numFmt numFmtId="165" formatCode="#,##0;\-#,##0;\0"/>
    <numFmt numFmtId="166" formatCode="\E0.000"/>
    <numFmt numFmtId="167" formatCode="0;\-0;\-"/>
  </numFmts>
  <fonts count="15" x14ac:knownFonts="1">
    <font>
      <sz val="11"/>
      <color theme="1"/>
      <name val="Calibri"/>
      <family val="2"/>
      <charset val="1"/>
    </font>
    <font>
      <b/>
      <sz val="16"/>
      <name val="Arial"/>
      <charset val="1"/>
    </font>
    <font>
      <i/>
      <sz val="9"/>
      <name val="Arial"/>
      <charset val="1"/>
    </font>
    <font>
      <b/>
      <sz val="11"/>
      <name val="Arial"/>
      <charset val="1"/>
    </font>
    <font>
      <sz val="11"/>
      <name val="Arial"/>
      <charset val="1"/>
    </font>
    <font>
      <b/>
      <sz val="10"/>
      <color rgb="FFFFFFFF"/>
      <name val="Arial"/>
      <charset val="1"/>
    </font>
    <font>
      <b/>
      <sz val="11"/>
      <color rgb="FFC00000"/>
      <name val="Arial"/>
      <charset val="1"/>
    </font>
    <font>
      <i/>
      <sz val="8"/>
      <name val="Arial"/>
      <charset val="1"/>
    </font>
    <font>
      <b/>
      <sz val="14"/>
      <name val="Arial"/>
      <charset val="1"/>
    </font>
    <font>
      <b/>
      <sz val="11"/>
      <color rgb="FFFFFFFF"/>
      <name val="Arial"/>
      <charset val="1"/>
    </font>
    <font>
      <sz val="11"/>
      <color rgb="FF000000"/>
      <name val="Arial"/>
      <charset val="1"/>
    </font>
    <font>
      <sz val="11"/>
      <color rgb="FF0000FF"/>
      <name val="Arial"/>
      <charset val="1"/>
    </font>
    <font>
      <i/>
      <sz val="11"/>
      <name val="Arial"/>
      <charset val="1"/>
    </font>
    <font>
      <sz val="10"/>
      <name val="Arial"/>
      <charset val="1"/>
    </font>
    <font>
      <b/>
      <sz val="12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D9D9"/>
        <bgColor rgb="FFC0C0C0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FFFFF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0" borderId="0" xfId="0" applyFont="1" applyBorder="1" applyAlignment="1">
      <alignment vertical="top" wrapText="1"/>
    </xf>
    <xf numFmtId="0" fontId="7" fillId="0" borderId="0" xfId="0" applyFont="1" applyBorder="1" applyAlignment="1">
      <alignment wrapText="1"/>
    </xf>
    <xf numFmtId="0" fontId="0" fillId="0" borderId="2" xfId="0" applyBorder="1"/>
    <xf numFmtId="0" fontId="4" fillId="0" borderId="0" xfId="0" applyFont="1" applyBorder="1" applyAlignment="1">
      <alignment vertical="center"/>
    </xf>
    <xf numFmtId="0" fontId="0" fillId="0" borderId="1" xfId="0" applyBorder="1"/>
    <xf numFmtId="0" fontId="2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5" fillId="2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vertical="center"/>
    </xf>
    <xf numFmtId="0" fontId="4" fillId="0" borderId="2" xfId="0" applyFont="1" applyBorder="1" applyAlignment="1">
      <alignment horizontal="center" vertical="center"/>
    </xf>
    <xf numFmtId="3" fontId="4" fillId="3" borderId="2" xfId="0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8" fillId="0" borderId="0" xfId="0" applyFont="1"/>
    <xf numFmtId="0" fontId="9" fillId="2" borderId="2" xfId="0" applyFont="1" applyFill="1" applyBorder="1" applyAlignment="1">
      <alignment horizontal="center" vertical="center" wrapText="1"/>
    </xf>
    <xf numFmtId="0" fontId="4" fillId="0" borderId="2" xfId="0" applyFont="1" applyBorder="1"/>
    <xf numFmtId="0" fontId="10" fillId="0" borderId="2" xfId="0" applyFont="1" applyBorder="1"/>
    <xf numFmtId="0" fontId="10" fillId="0" borderId="2" xfId="0" applyFont="1" applyBorder="1" applyAlignment="1">
      <alignment horizontal="center"/>
    </xf>
    <xf numFmtId="3" fontId="11" fillId="0" borderId="2" xfId="0" applyNumberFormat="1" applyFont="1" applyBorder="1" applyAlignment="1">
      <alignment horizontal="center"/>
    </xf>
    <xf numFmtId="164" fontId="11" fillId="0" borderId="2" xfId="0" applyNumberFormat="1" applyFont="1" applyBorder="1" applyAlignment="1">
      <alignment horizontal="center"/>
    </xf>
    <xf numFmtId="165" fontId="10" fillId="0" borderId="2" xfId="0" applyNumberFormat="1" applyFont="1" applyBorder="1" applyAlignment="1">
      <alignment horizontal="center"/>
    </xf>
    <xf numFmtId="165" fontId="10" fillId="4" borderId="2" xfId="0" applyNumberFormat="1" applyFont="1" applyFill="1" applyBorder="1" applyAlignment="1">
      <alignment horizontal="center"/>
    </xf>
    <xf numFmtId="165" fontId="3" fillId="0" borderId="2" xfId="0" applyNumberFormat="1" applyFont="1" applyBorder="1" applyAlignment="1">
      <alignment horizontal="center"/>
    </xf>
    <xf numFmtId="166" fontId="10" fillId="0" borderId="2" xfId="0" applyNumberFormat="1" applyFont="1" applyBorder="1" applyAlignment="1">
      <alignment horizontal="center"/>
    </xf>
    <xf numFmtId="0" fontId="2" fillId="0" borderId="2" xfId="0" applyFont="1" applyBorder="1"/>
    <xf numFmtId="0" fontId="2" fillId="0" borderId="0" xfId="0" applyFont="1"/>
    <xf numFmtId="0" fontId="12" fillId="5" borderId="2" xfId="0" applyFont="1" applyFill="1" applyBorder="1" applyAlignment="1">
      <alignment horizontal="center"/>
    </xf>
    <xf numFmtId="167" fontId="11" fillId="0" borderId="2" xfId="0" applyNumberFormat="1" applyFont="1" applyBorder="1" applyAlignment="1">
      <alignment horizontal="center"/>
    </xf>
    <xf numFmtId="0" fontId="8" fillId="0" borderId="0" xfId="0" applyFont="1" applyAlignment="1">
      <alignment wrapText="1"/>
    </xf>
    <xf numFmtId="0" fontId="1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14" fillId="0" borderId="0" xfId="0" applyFont="1" applyAlignment="1">
      <alignment wrapText="1"/>
    </xf>
  </cellXfs>
  <cellStyles count="1">
    <cellStyle name="Normal" xfId="0" builtinId="0"/>
  </cellStyles>
  <dxfs count="1">
    <dxf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37"/>
  <sheetViews>
    <sheetView tabSelected="1" topLeftCell="A11" zoomScaleNormal="100" workbookViewId="0">
      <selection sqref="A1:XFD37"/>
    </sheetView>
  </sheetViews>
  <sheetFormatPr defaultColWidth="8.7109375" defaultRowHeight="15" x14ac:dyDescent="0.25"/>
  <cols>
    <col min="1" max="1" width="32" customWidth="1"/>
    <col min="2" max="2" width="7" customWidth="1"/>
    <col min="3" max="3" width="12" customWidth="1"/>
    <col min="4" max="4" width="22.140625" customWidth="1"/>
    <col min="5" max="5" width="22" customWidth="1"/>
    <col min="6" max="6" width="23.5703125" customWidth="1"/>
    <col min="7" max="7" width="20.5703125" customWidth="1"/>
  </cols>
  <sheetData>
    <row r="1" spans="1:7" ht="37.5" customHeight="1" x14ac:dyDescent="0.3">
      <c r="A1" s="7" t="s">
        <v>0</v>
      </c>
      <c r="B1" s="7"/>
      <c r="C1" s="7"/>
      <c r="D1" s="7"/>
      <c r="E1" s="7"/>
      <c r="F1" s="7"/>
      <c r="G1" s="7"/>
    </row>
    <row r="2" spans="1:7" ht="37.5" customHeight="1" x14ac:dyDescent="0.25">
      <c r="A2" s="6" t="s">
        <v>1</v>
      </c>
      <c r="B2" s="6"/>
      <c r="C2" s="6"/>
      <c r="D2" s="6"/>
      <c r="E2" s="6"/>
      <c r="F2" s="6"/>
      <c r="G2" s="6"/>
    </row>
    <row r="3" spans="1:7" ht="37.5" customHeight="1" x14ac:dyDescent="0.25"/>
    <row r="4" spans="1:7" ht="37.5" customHeight="1" x14ac:dyDescent="0.25">
      <c r="A4" s="8" t="s">
        <v>2</v>
      </c>
      <c r="B4" s="5"/>
      <c r="C4" s="5"/>
      <c r="D4" s="8" t="s">
        <v>3</v>
      </c>
      <c r="E4" s="5"/>
      <c r="F4" s="5"/>
      <c r="G4" s="5"/>
    </row>
    <row r="5" spans="1:7" ht="37.5" customHeight="1" x14ac:dyDescent="0.25">
      <c r="A5" s="8" t="s">
        <v>4</v>
      </c>
      <c r="B5" s="5"/>
      <c r="C5" s="5"/>
      <c r="D5" s="8" t="s">
        <v>5</v>
      </c>
      <c r="E5" s="5"/>
      <c r="F5" s="5"/>
      <c r="G5" s="5"/>
    </row>
    <row r="6" spans="1:7" ht="37.5" customHeight="1" x14ac:dyDescent="0.25"/>
    <row r="7" spans="1:7" ht="37.5" customHeight="1" x14ac:dyDescent="0.25">
      <c r="A7" s="8" t="s">
        <v>6</v>
      </c>
      <c r="D7" s="9" t="s">
        <v>7</v>
      </c>
      <c r="F7" s="9" t="s">
        <v>8</v>
      </c>
    </row>
    <row r="8" spans="1:7" ht="37.5" customHeight="1" x14ac:dyDescent="0.25">
      <c r="A8" s="4" t="s">
        <v>9</v>
      </c>
      <c r="B8" s="4"/>
      <c r="C8" s="4"/>
      <c r="D8" s="3"/>
      <c r="E8" s="3"/>
      <c r="F8" s="3"/>
      <c r="G8" s="3"/>
    </row>
    <row r="9" spans="1:7" ht="37.5" customHeight="1" x14ac:dyDescent="0.25">
      <c r="A9" s="4" t="s">
        <v>10</v>
      </c>
      <c r="B9" s="4"/>
      <c r="C9" s="4"/>
      <c r="D9" s="3"/>
      <c r="E9" s="3"/>
      <c r="F9" s="3"/>
      <c r="G9" s="3"/>
    </row>
    <row r="10" spans="1:7" ht="37.5" customHeight="1" x14ac:dyDescent="0.25">
      <c r="A10" s="4" t="s">
        <v>11</v>
      </c>
      <c r="B10" s="4"/>
      <c r="C10" s="4"/>
      <c r="D10" s="3"/>
      <c r="E10" s="3"/>
      <c r="F10" s="3"/>
      <c r="G10" s="3"/>
    </row>
    <row r="11" spans="1:7" ht="37.5" customHeight="1" x14ac:dyDescent="0.25">
      <c r="A11" s="4" t="s">
        <v>12</v>
      </c>
      <c r="B11" s="4"/>
      <c r="C11" s="4"/>
      <c r="D11" s="3"/>
      <c r="E11" s="3"/>
      <c r="F11" s="3"/>
      <c r="G11" s="3"/>
    </row>
    <row r="12" spans="1:7" ht="37.5" customHeight="1" x14ac:dyDescent="0.25">
      <c r="A12" s="4" t="s">
        <v>13</v>
      </c>
      <c r="B12" s="4"/>
      <c r="C12" s="4"/>
      <c r="D12" s="3"/>
      <c r="E12" s="3"/>
      <c r="F12" s="3"/>
      <c r="G12" s="3"/>
    </row>
    <row r="13" spans="1:7" ht="37.5" customHeight="1" x14ac:dyDescent="0.25"/>
    <row r="14" spans="1:7" ht="37.5" customHeight="1" x14ac:dyDescent="0.25">
      <c r="A14" s="10" t="s">
        <v>14</v>
      </c>
      <c r="B14" s="10" t="s">
        <v>15</v>
      </c>
      <c r="C14" s="10" t="s">
        <v>16</v>
      </c>
      <c r="D14" s="10" t="s">
        <v>17</v>
      </c>
      <c r="E14" s="10" t="s">
        <v>18</v>
      </c>
      <c r="F14" s="10" t="s">
        <v>19</v>
      </c>
      <c r="G14" s="10" t="s">
        <v>20</v>
      </c>
    </row>
    <row r="15" spans="1:7" ht="37.5" customHeight="1" x14ac:dyDescent="0.25">
      <c r="A15" s="11" t="str">
        <f>'Min Stock'!A5</f>
        <v>Baker's Pride Flour</v>
      </c>
      <c r="B15" s="12" t="str">
        <f>'Min Stock'!C5</f>
        <v>g</v>
      </c>
      <c r="C15" s="13">
        <f>'Min Stock'!I5</f>
        <v>1900</v>
      </c>
      <c r="D15" s="12"/>
      <c r="E15" s="12"/>
      <c r="F15" s="12" t="str">
        <f t="shared" ref="F15:F32" si="0">IF(OR(D15="",E15=""),"",D15-E15)</f>
        <v/>
      </c>
      <c r="G15" s="14" t="str">
        <f t="shared" ref="G15:G32" si="1">IF(F15="","",IF(F15&lt;=C15,"BUY",""))</f>
        <v/>
      </c>
    </row>
    <row r="16" spans="1:7" ht="37.5" customHeight="1" x14ac:dyDescent="0.25">
      <c r="A16" s="11" t="str">
        <f>'Min Stock'!A6</f>
        <v>Granulated Sugar</v>
      </c>
      <c r="B16" s="12" t="str">
        <f>'Min Stock'!C6</f>
        <v>g</v>
      </c>
      <c r="C16" s="13">
        <f>'Min Stock'!I6</f>
        <v>0</v>
      </c>
      <c r="D16" s="12"/>
      <c r="E16" s="12"/>
      <c r="F16" s="12" t="str">
        <f t="shared" si="0"/>
        <v/>
      </c>
      <c r="G16" s="14" t="str">
        <f t="shared" si="1"/>
        <v/>
      </c>
    </row>
    <row r="17" spans="1:7" ht="37.5" customHeight="1" x14ac:dyDescent="0.25">
      <c r="A17" s="11" t="str">
        <f>'Min Stock'!A7</f>
        <v>Castor Sugar</v>
      </c>
      <c r="B17" s="12" t="str">
        <f>'Min Stock'!C7</f>
        <v>g</v>
      </c>
      <c r="C17" s="13">
        <f>'Min Stock'!I7</f>
        <v>1300</v>
      </c>
      <c r="D17" s="12"/>
      <c r="E17" s="12"/>
      <c r="F17" s="12" t="str">
        <f t="shared" si="0"/>
        <v/>
      </c>
      <c r="G17" s="14" t="str">
        <f t="shared" si="1"/>
        <v/>
      </c>
    </row>
    <row r="18" spans="1:7" ht="37.5" customHeight="1" x14ac:dyDescent="0.25">
      <c r="A18" s="11" t="str">
        <f>'Min Stock'!A8</f>
        <v>Icing Sugar</v>
      </c>
      <c r="B18" s="12" t="str">
        <f>'Min Stock'!C8</f>
        <v>g</v>
      </c>
      <c r="C18" s="13">
        <f>'Min Stock'!I8</f>
        <v>900</v>
      </c>
      <c r="D18" s="12"/>
      <c r="E18" s="12"/>
      <c r="F18" s="12" t="str">
        <f t="shared" si="0"/>
        <v/>
      </c>
      <c r="G18" s="14" t="str">
        <f t="shared" si="1"/>
        <v/>
      </c>
    </row>
    <row r="19" spans="1:7" ht="37.5" customHeight="1" x14ac:dyDescent="0.25">
      <c r="A19" s="11" t="str">
        <f>'Min Stock'!A9</f>
        <v>Wright Oats</v>
      </c>
      <c r="B19" s="12" t="str">
        <f>'Min Stock'!C9</f>
        <v>g</v>
      </c>
      <c r="C19" s="13">
        <f>'Min Stock'!I9</f>
        <v>900</v>
      </c>
      <c r="D19" s="12"/>
      <c r="E19" s="12"/>
      <c r="F19" s="12" t="str">
        <f t="shared" si="0"/>
        <v/>
      </c>
      <c r="G19" s="14" t="str">
        <f t="shared" si="1"/>
        <v/>
      </c>
    </row>
    <row r="20" spans="1:7" ht="37.5" customHeight="1" x14ac:dyDescent="0.25">
      <c r="A20" s="11" t="str">
        <f>'Min Stock'!A10</f>
        <v>Safari Raisins</v>
      </c>
      <c r="B20" s="12" t="str">
        <f>'Min Stock'!C10</f>
        <v>g</v>
      </c>
      <c r="C20" s="13">
        <f>'Min Stock'!I10</f>
        <v>500</v>
      </c>
      <c r="D20" s="12"/>
      <c r="E20" s="12"/>
      <c r="F20" s="12" t="str">
        <f t="shared" si="0"/>
        <v/>
      </c>
      <c r="G20" s="14" t="str">
        <f t="shared" si="1"/>
        <v/>
      </c>
    </row>
    <row r="21" spans="1:7" ht="37.5" customHeight="1" x14ac:dyDescent="0.25">
      <c r="A21" s="11" t="str">
        <f>'Min Stock'!A11</f>
        <v>Chocolate Chips</v>
      </c>
      <c r="B21" s="12" t="str">
        <f>'Min Stock'!C11</f>
        <v>g</v>
      </c>
      <c r="C21" s="13">
        <f>'Min Stock'!I11</f>
        <v>600</v>
      </c>
      <c r="D21" s="12"/>
      <c r="E21" s="12"/>
      <c r="F21" s="12" t="str">
        <f t="shared" si="0"/>
        <v/>
      </c>
      <c r="G21" s="14" t="str">
        <f t="shared" si="1"/>
        <v/>
      </c>
    </row>
    <row r="22" spans="1:7" ht="37.5" customHeight="1" x14ac:dyDescent="0.25">
      <c r="A22" s="11" t="str">
        <f>'Min Stock'!A12</f>
        <v>Royal Baking Powder</v>
      </c>
      <c r="B22" s="12" t="str">
        <f>'Min Stock'!C12</f>
        <v>g</v>
      </c>
      <c r="C22" s="13">
        <f>'Min Stock'!I12</f>
        <v>10</v>
      </c>
      <c r="D22" s="12"/>
      <c r="E22" s="12"/>
      <c r="F22" s="12" t="str">
        <f t="shared" si="0"/>
        <v/>
      </c>
      <c r="G22" s="14" t="str">
        <f t="shared" si="1"/>
        <v/>
      </c>
    </row>
    <row r="23" spans="1:7" ht="37.5" customHeight="1" x14ac:dyDescent="0.25">
      <c r="A23" s="11" t="str">
        <f>'Min Stock'!A13</f>
        <v>Bicarbonate of Soda</v>
      </c>
      <c r="B23" s="12" t="str">
        <f>'Min Stock'!C13</f>
        <v>g</v>
      </c>
      <c r="C23" s="13">
        <f>'Min Stock'!I13</f>
        <v>36</v>
      </c>
      <c r="D23" s="12"/>
      <c r="E23" s="12"/>
      <c r="F23" s="12" t="str">
        <f t="shared" si="0"/>
        <v/>
      </c>
      <c r="G23" s="14" t="str">
        <f t="shared" si="1"/>
        <v/>
      </c>
    </row>
    <row r="24" spans="1:7" ht="37.5" customHeight="1" x14ac:dyDescent="0.25">
      <c r="A24" s="11" t="str">
        <f>'Min Stock'!A14</f>
        <v>Cerebos Iodated Salt</v>
      </c>
      <c r="B24" s="12" t="str">
        <f>'Min Stock'!C14</f>
        <v>g</v>
      </c>
      <c r="C24" s="13">
        <f>'Min Stock'!I14</f>
        <v>30</v>
      </c>
      <c r="D24" s="12"/>
      <c r="E24" s="12"/>
      <c r="F24" s="12" t="str">
        <f t="shared" si="0"/>
        <v/>
      </c>
      <c r="G24" s="14" t="str">
        <f t="shared" si="1"/>
        <v/>
      </c>
    </row>
    <row r="25" spans="1:7" ht="37.5" customHeight="1" x14ac:dyDescent="0.25">
      <c r="A25" s="11" t="str">
        <f>'Min Stock'!A15</f>
        <v>Ina Paarman Cinnamon</v>
      </c>
      <c r="B25" s="12" t="str">
        <f>'Min Stock'!C15</f>
        <v>g</v>
      </c>
      <c r="C25" s="13">
        <f>'Min Stock'!I15</f>
        <v>6</v>
      </c>
      <c r="D25" s="12"/>
      <c r="E25" s="12"/>
      <c r="F25" s="12" t="str">
        <f t="shared" si="0"/>
        <v/>
      </c>
      <c r="G25" s="14" t="str">
        <f t="shared" si="1"/>
        <v/>
      </c>
    </row>
    <row r="26" spans="1:7" ht="37.5" customHeight="1" x14ac:dyDescent="0.25">
      <c r="A26" s="11" t="str">
        <f>'Min Stock'!A16</f>
        <v>Sunshine Margarine</v>
      </c>
      <c r="B26" s="12" t="str">
        <f>'Min Stock'!C16</f>
        <v>g</v>
      </c>
      <c r="C26" s="13">
        <f>'Min Stock'!I16</f>
        <v>1000</v>
      </c>
      <c r="D26" s="12"/>
      <c r="E26" s="12"/>
      <c r="F26" s="12" t="str">
        <f t="shared" si="0"/>
        <v/>
      </c>
      <c r="G26" s="14" t="str">
        <f t="shared" si="1"/>
        <v/>
      </c>
    </row>
    <row r="27" spans="1:7" ht="37.5" customHeight="1" x14ac:dyDescent="0.25">
      <c r="A27" s="11" t="str">
        <f>'Min Stock'!A17</f>
        <v>Sunfoil Cooking Oil</v>
      </c>
      <c r="B27" s="12" t="str">
        <f>'Min Stock'!C17</f>
        <v>ml</v>
      </c>
      <c r="C27" s="13">
        <f>'Min Stock'!I17</f>
        <v>10</v>
      </c>
      <c r="D27" s="12"/>
      <c r="E27" s="12"/>
      <c r="F27" s="12" t="str">
        <f t="shared" si="0"/>
        <v/>
      </c>
      <c r="G27" s="14" t="str">
        <f t="shared" si="1"/>
        <v/>
      </c>
    </row>
    <row r="28" spans="1:7" ht="37.5" customHeight="1" x14ac:dyDescent="0.25">
      <c r="A28" s="11" t="str">
        <f>'Min Stock'!A18</f>
        <v>Full Cream Milk</v>
      </c>
      <c r="B28" s="12" t="str">
        <f>'Min Stock'!C18</f>
        <v>ml</v>
      </c>
      <c r="C28" s="13">
        <f>'Min Stock'!I18</f>
        <v>0</v>
      </c>
      <c r="D28" s="12"/>
      <c r="E28" s="12"/>
      <c r="F28" s="12" t="str">
        <f t="shared" si="0"/>
        <v/>
      </c>
      <c r="G28" s="14" t="str">
        <f t="shared" si="1"/>
        <v/>
      </c>
    </row>
    <row r="29" spans="1:7" ht="37.5" customHeight="1" x14ac:dyDescent="0.25">
      <c r="A29" s="11" t="str">
        <f>'Min Stock'!A19</f>
        <v>Large Eggs</v>
      </c>
      <c r="B29" s="12" t="str">
        <f>'Min Stock'!C19</f>
        <v>each</v>
      </c>
      <c r="C29" s="13">
        <f>'Min Stock'!I19</f>
        <v>12</v>
      </c>
      <c r="D29" s="12"/>
      <c r="E29" s="12"/>
      <c r="F29" s="12" t="str">
        <f t="shared" si="0"/>
        <v/>
      </c>
      <c r="G29" s="14" t="str">
        <f t="shared" si="1"/>
        <v/>
      </c>
    </row>
    <row r="30" spans="1:7" ht="37.5" customHeight="1" x14ac:dyDescent="0.25">
      <c r="A30" s="11" t="str">
        <f>'Min Stock'!A20</f>
        <v>Brown &amp; Polson Vanilla Essence</v>
      </c>
      <c r="B30" s="12" t="str">
        <f>'Min Stock'!C20</f>
        <v>ml</v>
      </c>
      <c r="C30" s="13">
        <f>'Min Stock'!I20</f>
        <v>30</v>
      </c>
      <c r="D30" s="12"/>
      <c r="E30" s="12"/>
      <c r="F30" s="12" t="str">
        <f t="shared" si="0"/>
        <v/>
      </c>
      <c r="G30" s="14" t="str">
        <f t="shared" si="1"/>
        <v/>
      </c>
    </row>
    <row r="31" spans="1:7" ht="37.5" customHeight="1" x14ac:dyDescent="0.25">
      <c r="A31" s="11" t="str">
        <f>'Min Stock'!A21</f>
        <v>AG Jam</v>
      </c>
      <c r="B31" s="12" t="str">
        <f>'Min Stock'!C21</f>
        <v>g</v>
      </c>
      <c r="C31" s="13">
        <f>'Min Stock'!I21</f>
        <v>800</v>
      </c>
      <c r="D31" s="12"/>
      <c r="E31" s="12"/>
      <c r="F31" s="12" t="str">
        <f t="shared" si="0"/>
        <v/>
      </c>
      <c r="G31" s="14" t="str">
        <f t="shared" si="1"/>
        <v/>
      </c>
    </row>
    <row r="32" spans="1:7" ht="37.5" customHeight="1" x14ac:dyDescent="0.25">
      <c r="A32" s="11" t="str">
        <f>'Min Stock'!A22</f>
        <v>Ivor Cornflour</v>
      </c>
      <c r="B32" s="12" t="str">
        <f>'Min Stock'!C22</f>
        <v>g</v>
      </c>
      <c r="C32" s="13">
        <f>'Min Stock'!I22</f>
        <v>180</v>
      </c>
      <c r="D32" s="12"/>
      <c r="E32" s="12"/>
      <c r="F32" s="12" t="str">
        <f t="shared" si="0"/>
        <v/>
      </c>
      <c r="G32" s="14" t="str">
        <f t="shared" si="1"/>
        <v/>
      </c>
    </row>
    <row r="33" spans="1:7" ht="37.5" customHeight="1" x14ac:dyDescent="0.25"/>
    <row r="34" spans="1:7" ht="37.5" customHeight="1" x14ac:dyDescent="0.25">
      <c r="A34" s="8" t="s">
        <v>21</v>
      </c>
    </row>
    <row r="35" spans="1:7" ht="37.5" customHeight="1" x14ac:dyDescent="0.25">
      <c r="A35" s="5"/>
      <c r="B35" s="5"/>
      <c r="C35" s="5"/>
      <c r="D35" s="5"/>
      <c r="E35" s="5"/>
      <c r="F35" s="5"/>
      <c r="G35" s="5"/>
    </row>
    <row r="36" spans="1:7" ht="37.5" customHeight="1" x14ac:dyDescent="0.25">
      <c r="A36" s="5"/>
      <c r="B36" s="5"/>
      <c r="C36" s="5"/>
      <c r="D36" s="5"/>
      <c r="E36" s="5"/>
      <c r="F36" s="5"/>
      <c r="G36" s="5"/>
    </row>
    <row r="37" spans="1:7" ht="37.5" customHeight="1" x14ac:dyDescent="0.25">
      <c r="A37" s="2" t="s">
        <v>22</v>
      </c>
      <c r="B37" s="2"/>
      <c r="C37" s="2"/>
      <c r="D37" s="2"/>
      <c r="E37" s="2"/>
      <c r="F37" s="2"/>
      <c r="G37" s="2"/>
    </row>
  </sheetData>
  <mergeCells count="24">
    <mergeCell ref="A37:G37"/>
    <mergeCell ref="A12:C12"/>
    <mergeCell ref="D12:E12"/>
    <mergeCell ref="F12:G12"/>
    <mergeCell ref="A35:G35"/>
    <mergeCell ref="A36:G36"/>
    <mergeCell ref="A10:C10"/>
    <mergeCell ref="D10:E10"/>
    <mergeCell ref="F10:G10"/>
    <mergeCell ref="A11:C11"/>
    <mergeCell ref="D11:E11"/>
    <mergeCell ref="F11:G11"/>
    <mergeCell ref="A8:C8"/>
    <mergeCell ref="D8:E8"/>
    <mergeCell ref="F8:G8"/>
    <mergeCell ref="A9:C9"/>
    <mergeCell ref="D9:E9"/>
    <mergeCell ref="F9:G9"/>
    <mergeCell ref="A1:G1"/>
    <mergeCell ref="A2:G2"/>
    <mergeCell ref="B4:C4"/>
    <mergeCell ref="E4:G4"/>
    <mergeCell ref="B5:C5"/>
    <mergeCell ref="E5:G5"/>
  </mergeCells>
  <conditionalFormatting sqref="G15:G32">
    <cfRule type="cellIs" dxfId="0" priority="2" operator="equal">
      <formula>"BUY"</formula>
    </cfRule>
  </conditionalFormatting>
  <printOptions horizontalCentered="1"/>
  <pageMargins left="0.4" right="0.4" top="0.4" bottom="0.4" header="0.511811023622047" footer="0.511811023622047"/>
  <pageSetup paperSize="9" scale="58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4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H6" sqref="H6"/>
    </sheetView>
  </sheetViews>
  <sheetFormatPr defaultColWidth="8.7109375" defaultRowHeight="15" x14ac:dyDescent="0.25"/>
  <cols>
    <col min="1" max="1" width="32" customWidth="1"/>
    <col min="2" max="2" width="15" customWidth="1"/>
    <col min="3" max="3" width="7" customWidth="1"/>
    <col min="4" max="4" width="10" customWidth="1"/>
    <col min="5" max="5" width="12" customWidth="1"/>
    <col min="6" max="6" width="14" customWidth="1"/>
    <col min="7" max="8" width="13" customWidth="1"/>
    <col min="9" max="9" width="14" customWidth="1"/>
    <col min="10" max="10" width="15" customWidth="1"/>
    <col min="11" max="11" width="12" customWidth="1"/>
    <col min="12" max="12" width="42" customWidth="1"/>
  </cols>
  <sheetData>
    <row r="1" spans="1:12" ht="18" x14ac:dyDescent="0.25">
      <c r="A1" s="15" t="s">
        <v>23</v>
      </c>
    </row>
    <row r="2" spans="1:12" ht="48" customHeight="1" x14ac:dyDescent="0.25">
      <c r="A2" s="1" t="s">
        <v>24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4" spans="1:12" ht="43.5" customHeight="1" x14ac:dyDescent="0.25">
      <c r="A4" s="16" t="s">
        <v>14</v>
      </c>
      <c r="B4" s="16" t="s">
        <v>25</v>
      </c>
      <c r="C4" s="16" t="s">
        <v>15</v>
      </c>
      <c r="D4" s="16" t="s">
        <v>26</v>
      </c>
      <c r="E4" s="16" t="s">
        <v>27</v>
      </c>
      <c r="F4" s="16" t="s">
        <v>28</v>
      </c>
      <c r="G4" s="16" t="s">
        <v>29</v>
      </c>
      <c r="H4" s="16" t="s">
        <v>30</v>
      </c>
      <c r="I4" s="16" t="s">
        <v>31</v>
      </c>
      <c r="J4" s="16" t="s">
        <v>32</v>
      </c>
      <c r="K4" s="16" t="s">
        <v>33</v>
      </c>
      <c r="L4" s="16" t="s">
        <v>34</v>
      </c>
    </row>
    <row r="5" spans="1:12" x14ac:dyDescent="0.25">
      <c r="A5" s="17" t="s">
        <v>35</v>
      </c>
      <c r="B5" s="18" t="s">
        <v>36</v>
      </c>
      <c r="C5" s="19" t="s">
        <v>37</v>
      </c>
      <c r="D5" s="20">
        <v>5000</v>
      </c>
      <c r="E5" s="21">
        <v>85</v>
      </c>
      <c r="F5" s="18" t="s">
        <v>38</v>
      </c>
      <c r="G5" s="22">
        <f>IF(2*(Recipes!C6+Recipes!D6)&gt;0,2*(Recipes!C6+Recipes!D6),2*MAX(Recipes!E6:G6))</f>
        <v>1900</v>
      </c>
      <c r="H5" s="23"/>
      <c r="I5" s="24">
        <f t="shared" ref="I5:I22" si="0">IF(H5&lt;&gt;"",H5,G5)</f>
        <v>1900</v>
      </c>
      <c r="J5" s="19">
        <f t="shared" ref="J5:J22" si="1">IF(I5=0,0,ROUNDUP(I5/D5,0))</f>
        <v>1</v>
      </c>
      <c r="K5" s="25">
        <f t="shared" ref="K5:K22" si="2">E5/D5</f>
        <v>1.7000000000000001E-2</v>
      </c>
      <c r="L5" s="18"/>
    </row>
    <row r="6" spans="1:12" x14ac:dyDescent="0.25">
      <c r="A6" s="17" t="s">
        <v>39</v>
      </c>
      <c r="B6" s="18" t="s">
        <v>40</v>
      </c>
      <c r="C6" s="19" t="s">
        <v>37</v>
      </c>
      <c r="D6" s="20">
        <v>200</v>
      </c>
      <c r="E6" s="21">
        <v>52</v>
      </c>
      <c r="F6" s="18" t="s">
        <v>41</v>
      </c>
      <c r="G6" s="22">
        <f>IF(2*(Recipes!C7+Recipes!D7)&gt;0,2*(Recipes!C7+Recipes!D7),2*MAX(Recipes!E7:G7))</f>
        <v>0</v>
      </c>
      <c r="H6" s="23"/>
      <c r="I6" s="24">
        <f t="shared" si="0"/>
        <v>0</v>
      </c>
      <c r="J6" s="19">
        <f t="shared" si="1"/>
        <v>0</v>
      </c>
      <c r="K6" s="25">
        <f t="shared" si="2"/>
        <v>0.26</v>
      </c>
      <c r="L6" s="26" t="s">
        <v>42</v>
      </c>
    </row>
    <row r="7" spans="1:12" x14ac:dyDescent="0.25">
      <c r="A7" s="17" t="s">
        <v>43</v>
      </c>
      <c r="B7" s="18" t="s">
        <v>36</v>
      </c>
      <c r="C7" s="19" t="s">
        <v>37</v>
      </c>
      <c r="D7" s="20">
        <v>1000</v>
      </c>
      <c r="E7" s="21">
        <v>29</v>
      </c>
      <c r="F7" s="18" t="s">
        <v>41</v>
      </c>
      <c r="G7" s="22">
        <f>IF(2*(Recipes!C8+Recipes!D8)&gt;0,2*(Recipes!C8+Recipes!D8),2*MAX(Recipes!E8:G8))</f>
        <v>1300</v>
      </c>
      <c r="H7" s="23"/>
      <c r="I7" s="24">
        <f t="shared" si="0"/>
        <v>1300</v>
      </c>
      <c r="J7" s="19">
        <f t="shared" si="1"/>
        <v>2</v>
      </c>
      <c r="K7" s="25">
        <f t="shared" si="2"/>
        <v>2.9000000000000001E-2</v>
      </c>
      <c r="L7" s="18"/>
    </row>
    <row r="8" spans="1:12" x14ac:dyDescent="0.25">
      <c r="A8" s="17" t="s">
        <v>44</v>
      </c>
      <c r="B8" s="18" t="s">
        <v>36</v>
      </c>
      <c r="C8" s="19" t="s">
        <v>37</v>
      </c>
      <c r="D8" s="20">
        <v>1000</v>
      </c>
      <c r="E8" s="21">
        <v>29</v>
      </c>
      <c r="F8" s="18" t="s">
        <v>41</v>
      </c>
      <c r="G8" s="22">
        <f>IF(2*(Recipes!C9+Recipes!D9)&gt;0,2*(Recipes!C9+Recipes!D9),2*MAX(Recipes!E9:G9))</f>
        <v>900</v>
      </c>
      <c r="H8" s="23"/>
      <c r="I8" s="24">
        <f t="shared" si="0"/>
        <v>900</v>
      </c>
      <c r="J8" s="19">
        <f t="shared" si="1"/>
        <v>1</v>
      </c>
      <c r="K8" s="25">
        <f t="shared" si="2"/>
        <v>2.9000000000000001E-2</v>
      </c>
      <c r="L8" s="18"/>
    </row>
    <row r="9" spans="1:12" x14ac:dyDescent="0.25">
      <c r="A9" s="17" t="s">
        <v>45</v>
      </c>
      <c r="B9" s="18" t="s">
        <v>36</v>
      </c>
      <c r="C9" s="19" t="s">
        <v>37</v>
      </c>
      <c r="D9" s="20">
        <v>1000</v>
      </c>
      <c r="E9" s="21">
        <v>38</v>
      </c>
      <c r="F9" s="18" t="s">
        <v>41</v>
      </c>
      <c r="G9" s="22">
        <f>IF(2*(Recipes!C10+Recipes!D10)&gt;0,2*(Recipes!C10+Recipes!D10),2*MAX(Recipes!E10:G10))</f>
        <v>900</v>
      </c>
      <c r="H9" s="23"/>
      <c r="I9" s="24">
        <f t="shared" si="0"/>
        <v>900</v>
      </c>
      <c r="J9" s="19">
        <f t="shared" si="1"/>
        <v>1</v>
      </c>
      <c r="K9" s="25">
        <f t="shared" si="2"/>
        <v>3.7999999999999999E-2</v>
      </c>
      <c r="L9" s="18"/>
    </row>
    <row r="10" spans="1:12" x14ac:dyDescent="0.25">
      <c r="A10" s="17" t="s">
        <v>46</v>
      </c>
      <c r="B10" s="18" t="s">
        <v>47</v>
      </c>
      <c r="C10" s="19" t="s">
        <v>37</v>
      </c>
      <c r="D10" s="20">
        <v>1000</v>
      </c>
      <c r="E10" s="21">
        <v>100</v>
      </c>
      <c r="F10" s="18" t="s">
        <v>48</v>
      </c>
      <c r="G10" s="22">
        <f>IF(2*(Recipes!C11+Recipes!D11)&gt;0,2*(Recipes!C11+Recipes!D11),2*MAX(Recipes!E11:G11))</f>
        <v>500</v>
      </c>
      <c r="H10" s="23"/>
      <c r="I10" s="24">
        <f t="shared" si="0"/>
        <v>500</v>
      </c>
      <c r="J10" s="19">
        <f t="shared" si="1"/>
        <v>1</v>
      </c>
      <c r="K10" s="25">
        <f t="shared" si="2"/>
        <v>0.1</v>
      </c>
      <c r="L10" s="18"/>
    </row>
    <row r="11" spans="1:12" x14ac:dyDescent="0.25">
      <c r="A11" s="17" t="s">
        <v>49</v>
      </c>
      <c r="B11" s="18" t="s">
        <v>50</v>
      </c>
      <c r="C11" s="19" t="s">
        <v>37</v>
      </c>
      <c r="D11" s="20">
        <v>1000</v>
      </c>
      <c r="E11" s="21">
        <v>100</v>
      </c>
      <c r="F11" s="18" t="s">
        <v>51</v>
      </c>
      <c r="G11" s="22">
        <f>IF(2*(Recipes!C12+Recipes!D12)&gt;0,2*(Recipes!C12+Recipes!D12),2*MAX(Recipes!E12:G12))</f>
        <v>600</v>
      </c>
      <c r="H11" s="23"/>
      <c r="I11" s="24">
        <f t="shared" si="0"/>
        <v>600</v>
      </c>
      <c r="J11" s="19">
        <f t="shared" si="1"/>
        <v>1</v>
      </c>
      <c r="K11" s="25">
        <f t="shared" si="2"/>
        <v>0.1</v>
      </c>
      <c r="L11" s="18"/>
    </row>
    <row r="12" spans="1:12" x14ac:dyDescent="0.25">
      <c r="A12" s="17" t="s">
        <v>52</v>
      </c>
      <c r="B12" s="18" t="s">
        <v>53</v>
      </c>
      <c r="C12" s="19" t="s">
        <v>37</v>
      </c>
      <c r="D12" s="20">
        <v>200</v>
      </c>
      <c r="E12" s="21">
        <v>38</v>
      </c>
      <c r="F12" s="18" t="s">
        <v>54</v>
      </c>
      <c r="G12" s="22">
        <f>IF(2*(Recipes!C13+Recipes!D13)&gt;0,2*(Recipes!C13+Recipes!D13),2*MAX(Recipes!E13:G13))</f>
        <v>10</v>
      </c>
      <c r="H12" s="23"/>
      <c r="I12" s="24">
        <f t="shared" si="0"/>
        <v>10</v>
      </c>
      <c r="J12" s="19">
        <f t="shared" si="1"/>
        <v>1</v>
      </c>
      <c r="K12" s="25">
        <f t="shared" si="2"/>
        <v>0.19</v>
      </c>
      <c r="L12" s="18"/>
    </row>
    <row r="13" spans="1:12" x14ac:dyDescent="0.25">
      <c r="A13" s="17" t="s">
        <v>55</v>
      </c>
      <c r="B13" s="18" t="s">
        <v>53</v>
      </c>
      <c r="C13" s="19" t="s">
        <v>37</v>
      </c>
      <c r="D13" s="20">
        <v>200</v>
      </c>
      <c r="E13" s="21">
        <v>30</v>
      </c>
      <c r="F13" s="18" t="s">
        <v>41</v>
      </c>
      <c r="G13" s="22">
        <f>IF(2*(Recipes!C14+Recipes!D14)&gt;0,2*(Recipes!C14+Recipes!D14),2*MAX(Recipes!E14:G14))</f>
        <v>36</v>
      </c>
      <c r="H13" s="23"/>
      <c r="I13" s="24">
        <f t="shared" si="0"/>
        <v>36</v>
      </c>
      <c r="J13" s="19">
        <f t="shared" si="1"/>
        <v>1</v>
      </c>
      <c r="K13" s="25">
        <f t="shared" si="2"/>
        <v>0.15</v>
      </c>
      <c r="L13" s="18"/>
    </row>
    <row r="14" spans="1:12" x14ac:dyDescent="0.25">
      <c r="A14" s="17" t="s">
        <v>56</v>
      </c>
      <c r="B14" s="18" t="s">
        <v>36</v>
      </c>
      <c r="C14" s="19" t="s">
        <v>37</v>
      </c>
      <c r="D14" s="20">
        <v>500</v>
      </c>
      <c r="E14" s="21">
        <v>8</v>
      </c>
      <c r="F14" s="18" t="s">
        <v>41</v>
      </c>
      <c r="G14" s="22">
        <f>IF(2*(Recipes!C15+Recipes!D15)&gt;0,2*(Recipes!C15+Recipes!D15),2*MAX(Recipes!E15:G15))</f>
        <v>30</v>
      </c>
      <c r="H14" s="23"/>
      <c r="I14" s="24">
        <f t="shared" si="0"/>
        <v>30</v>
      </c>
      <c r="J14" s="19">
        <f t="shared" si="1"/>
        <v>1</v>
      </c>
      <c r="K14" s="25">
        <f t="shared" si="2"/>
        <v>1.6E-2</v>
      </c>
      <c r="L14" s="18"/>
    </row>
    <row r="15" spans="1:12" x14ac:dyDescent="0.25">
      <c r="A15" s="17" t="s">
        <v>57</v>
      </c>
      <c r="B15" s="18" t="s">
        <v>58</v>
      </c>
      <c r="C15" s="19" t="s">
        <v>37</v>
      </c>
      <c r="D15" s="20">
        <v>50</v>
      </c>
      <c r="E15" s="21">
        <v>22</v>
      </c>
      <c r="F15" s="18" t="s">
        <v>41</v>
      </c>
      <c r="G15" s="22">
        <f>IF(2*(Recipes!C16+Recipes!D16)&gt;0,2*(Recipes!C16+Recipes!D16),2*MAX(Recipes!E16:G16))</f>
        <v>6</v>
      </c>
      <c r="H15" s="23"/>
      <c r="I15" s="24">
        <f t="shared" si="0"/>
        <v>6</v>
      </c>
      <c r="J15" s="19">
        <f t="shared" si="1"/>
        <v>1</v>
      </c>
      <c r="K15" s="25">
        <f t="shared" si="2"/>
        <v>0.44</v>
      </c>
      <c r="L15" s="18"/>
    </row>
    <row r="16" spans="1:12" x14ac:dyDescent="0.25">
      <c r="A16" s="17" t="s">
        <v>59</v>
      </c>
      <c r="B16" s="18" t="s">
        <v>60</v>
      </c>
      <c r="C16" s="19" t="s">
        <v>37</v>
      </c>
      <c r="D16" s="20">
        <v>500</v>
      </c>
      <c r="E16" s="21">
        <v>18</v>
      </c>
      <c r="F16" s="18" t="s">
        <v>61</v>
      </c>
      <c r="G16" s="22">
        <f>IF(2*(Recipes!C17+Recipes!D17)&gt;0,2*(Recipes!C17+Recipes!D17),2*MAX(Recipes!E17:G17))</f>
        <v>1000</v>
      </c>
      <c r="H16" s="23"/>
      <c r="I16" s="24">
        <f t="shared" si="0"/>
        <v>1000</v>
      </c>
      <c r="J16" s="19">
        <f t="shared" si="1"/>
        <v>2</v>
      </c>
      <c r="K16" s="25">
        <f t="shared" si="2"/>
        <v>3.5999999999999997E-2</v>
      </c>
      <c r="L16" s="18"/>
    </row>
    <row r="17" spans="1:12" x14ac:dyDescent="0.25">
      <c r="A17" s="17" t="s">
        <v>62</v>
      </c>
      <c r="B17" s="18" t="s">
        <v>60</v>
      </c>
      <c r="C17" s="19" t="s">
        <v>63</v>
      </c>
      <c r="D17" s="20">
        <v>750</v>
      </c>
      <c r="E17" s="21">
        <v>32</v>
      </c>
      <c r="F17" s="18" t="s">
        <v>41</v>
      </c>
      <c r="G17" s="22">
        <f>IF(2*(Recipes!C18+Recipes!D18)&gt;0,2*(Recipes!C18+Recipes!D18),2*MAX(Recipes!E18:G18))</f>
        <v>10</v>
      </c>
      <c r="H17" s="23"/>
      <c r="I17" s="24">
        <f t="shared" si="0"/>
        <v>10</v>
      </c>
      <c r="J17" s="19">
        <f t="shared" si="1"/>
        <v>1</v>
      </c>
      <c r="K17" s="25">
        <f t="shared" si="2"/>
        <v>4.2666666666666665E-2</v>
      </c>
      <c r="L17" s="18"/>
    </row>
    <row r="18" spans="1:12" x14ac:dyDescent="0.25">
      <c r="A18" s="17" t="s">
        <v>64</v>
      </c>
      <c r="B18" s="18" t="s">
        <v>65</v>
      </c>
      <c r="C18" s="19" t="s">
        <v>63</v>
      </c>
      <c r="D18" s="20">
        <v>1000</v>
      </c>
      <c r="E18" s="21">
        <v>18</v>
      </c>
      <c r="F18" s="18" t="s">
        <v>41</v>
      </c>
      <c r="G18" s="22">
        <f>IF(2*(Recipes!C19+Recipes!D19)&gt;0,2*(Recipes!C19+Recipes!D19),2*MAX(Recipes!E19:G19))</f>
        <v>0</v>
      </c>
      <c r="H18" s="23"/>
      <c r="I18" s="24">
        <f t="shared" si="0"/>
        <v>0</v>
      </c>
      <c r="J18" s="19">
        <f t="shared" si="1"/>
        <v>0</v>
      </c>
      <c r="K18" s="25">
        <f t="shared" si="2"/>
        <v>1.7999999999999999E-2</v>
      </c>
      <c r="L18" s="26" t="s">
        <v>42</v>
      </c>
    </row>
    <row r="19" spans="1:12" x14ac:dyDescent="0.25">
      <c r="A19" s="17" t="s">
        <v>66</v>
      </c>
      <c r="B19" s="18" t="s">
        <v>65</v>
      </c>
      <c r="C19" s="19" t="s">
        <v>67</v>
      </c>
      <c r="D19" s="20">
        <v>30</v>
      </c>
      <c r="E19" s="21">
        <v>52</v>
      </c>
      <c r="F19" s="18" t="s">
        <v>41</v>
      </c>
      <c r="G19" s="22">
        <f>IF(2*(Recipes!C20+Recipes!D20)&gt;0,2*(Recipes!C20+Recipes!D20),2*MAX(Recipes!E20:G20))</f>
        <v>12</v>
      </c>
      <c r="H19" s="23"/>
      <c r="I19" s="24">
        <f t="shared" si="0"/>
        <v>12</v>
      </c>
      <c r="J19" s="19">
        <f t="shared" si="1"/>
        <v>1</v>
      </c>
      <c r="K19" s="25">
        <f t="shared" si="2"/>
        <v>1.7333333333333334</v>
      </c>
      <c r="L19" s="18"/>
    </row>
    <row r="20" spans="1:12" x14ac:dyDescent="0.25">
      <c r="A20" s="17" t="s">
        <v>68</v>
      </c>
      <c r="B20" s="18" t="s">
        <v>69</v>
      </c>
      <c r="C20" s="19" t="s">
        <v>63</v>
      </c>
      <c r="D20" s="20">
        <v>100</v>
      </c>
      <c r="E20" s="21">
        <v>28</v>
      </c>
      <c r="F20" s="18" t="s">
        <v>41</v>
      </c>
      <c r="G20" s="22">
        <f>IF(2*(Recipes!C21+Recipes!D21)&gt;0,2*(Recipes!C21+Recipes!D21),2*MAX(Recipes!E21:G21))</f>
        <v>30</v>
      </c>
      <c r="H20" s="23"/>
      <c r="I20" s="24">
        <f t="shared" si="0"/>
        <v>30</v>
      </c>
      <c r="J20" s="19">
        <f t="shared" si="1"/>
        <v>1</v>
      </c>
      <c r="K20" s="25">
        <f t="shared" si="2"/>
        <v>0.28000000000000003</v>
      </c>
      <c r="L20" s="18"/>
    </row>
    <row r="21" spans="1:12" x14ac:dyDescent="0.25">
      <c r="A21" s="17" t="s">
        <v>70</v>
      </c>
      <c r="B21" s="18" t="s">
        <v>40</v>
      </c>
      <c r="C21" s="19" t="s">
        <v>37</v>
      </c>
      <c r="D21" s="20">
        <v>900</v>
      </c>
      <c r="E21" s="21">
        <v>100</v>
      </c>
      <c r="F21" s="18" t="s">
        <v>71</v>
      </c>
      <c r="G21" s="22">
        <f>IF(2*(Recipes!C22+Recipes!D22)&gt;0,2*(Recipes!C22+Recipes!D22),2*MAX(Recipes!E22:G22))</f>
        <v>800</v>
      </c>
      <c r="H21" s="23"/>
      <c r="I21" s="24">
        <f t="shared" si="0"/>
        <v>800</v>
      </c>
      <c r="J21" s="19">
        <f t="shared" si="1"/>
        <v>1</v>
      </c>
      <c r="K21" s="25">
        <f t="shared" si="2"/>
        <v>0.1111111111111111</v>
      </c>
      <c r="L21" s="18"/>
    </row>
    <row r="22" spans="1:12" x14ac:dyDescent="0.25">
      <c r="A22" s="17" t="s">
        <v>72</v>
      </c>
      <c r="B22" s="18" t="s">
        <v>36</v>
      </c>
      <c r="C22" s="19" t="s">
        <v>37</v>
      </c>
      <c r="D22" s="20">
        <v>500</v>
      </c>
      <c r="E22" s="21">
        <v>24</v>
      </c>
      <c r="F22" s="18" t="s">
        <v>41</v>
      </c>
      <c r="G22" s="22">
        <f>IF(2*(Recipes!C23+Recipes!D23)&gt;0,2*(Recipes!C23+Recipes!D23),2*MAX(Recipes!E23:G23))</f>
        <v>180</v>
      </c>
      <c r="H22" s="23"/>
      <c r="I22" s="24">
        <f t="shared" si="0"/>
        <v>180</v>
      </c>
      <c r="J22" s="19">
        <f t="shared" si="1"/>
        <v>1</v>
      </c>
      <c r="K22" s="25">
        <f t="shared" si="2"/>
        <v>4.8000000000000001E-2</v>
      </c>
      <c r="L22" s="18"/>
    </row>
    <row r="24" spans="1:12" x14ac:dyDescent="0.25">
      <c r="A24" s="27" t="s">
        <v>73</v>
      </c>
    </row>
  </sheetData>
  <mergeCells count="1">
    <mergeCell ref="A2:L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5"/>
  <sheetViews>
    <sheetView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ColWidth="8.7109375" defaultRowHeight="15" x14ac:dyDescent="0.25"/>
  <cols>
    <col min="1" max="1" width="32" customWidth="1"/>
    <col min="2" max="2" width="7" customWidth="1"/>
    <col min="3" max="7" width="17" customWidth="1"/>
  </cols>
  <sheetData>
    <row r="1" spans="1:7" ht="18" x14ac:dyDescent="0.25">
      <c r="A1" s="15" t="s">
        <v>74</v>
      </c>
    </row>
    <row r="2" spans="1:7" x14ac:dyDescent="0.25">
      <c r="A2" s="27" t="s">
        <v>75</v>
      </c>
    </row>
    <row r="4" spans="1:7" ht="31.5" customHeight="1" x14ac:dyDescent="0.25">
      <c r="A4" s="16" t="s">
        <v>14</v>
      </c>
      <c r="B4" s="16" t="s">
        <v>15</v>
      </c>
      <c r="C4" s="16" t="s">
        <v>76</v>
      </c>
      <c r="D4" s="16" t="s">
        <v>77</v>
      </c>
      <c r="E4" s="16" t="s">
        <v>78</v>
      </c>
      <c r="F4" s="16" t="s">
        <v>79</v>
      </c>
      <c r="G4" s="16" t="s">
        <v>80</v>
      </c>
    </row>
    <row r="5" spans="1:7" x14ac:dyDescent="0.25">
      <c r="A5" s="28" t="s">
        <v>81</v>
      </c>
      <c r="B5" s="28"/>
      <c r="C5" s="28" t="s">
        <v>82</v>
      </c>
      <c r="D5" s="28" t="s">
        <v>83</v>
      </c>
      <c r="E5" s="28" t="s">
        <v>84</v>
      </c>
      <c r="F5" s="28" t="s">
        <v>83</v>
      </c>
      <c r="G5" s="28" t="s">
        <v>85</v>
      </c>
    </row>
    <row r="6" spans="1:7" x14ac:dyDescent="0.25">
      <c r="A6" s="17" t="s">
        <v>35</v>
      </c>
      <c r="B6" s="17" t="s">
        <v>37</v>
      </c>
      <c r="C6" s="29">
        <v>450</v>
      </c>
      <c r="D6" s="29">
        <v>500</v>
      </c>
      <c r="E6" s="29">
        <v>150</v>
      </c>
      <c r="F6" s="29">
        <v>450</v>
      </c>
      <c r="G6" s="29">
        <v>200</v>
      </c>
    </row>
    <row r="7" spans="1:7" x14ac:dyDescent="0.25">
      <c r="A7" s="17" t="s">
        <v>39</v>
      </c>
      <c r="B7" s="17" t="s">
        <v>37</v>
      </c>
      <c r="C7" s="29">
        <v>0</v>
      </c>
      <c r="D7" s="29">
        <v>0</v>
      </c>
      <c r="E7" s="29">
        <v>0</v>
      </c>
      <c r="F7" s="29">
        <v>0</v>
      </c>
      <c r="G7" s="29">
        <v>0</v>
      </c>
    </row>
    <row r="8" spans="1:7" x14ac:dyDescent="0.25">
      <c r="A8" s="17" t="s">
        <v>43</v>
      </c>
      <c r="B8" s="17" t="s">
        <v>37</v>
      </c>
      <c r="C8" s="29">
        <v>400</v>
      </c>
      <c r="D8" s="29">
        <v>250</v>
      </c>
      <c r="E8" s="29">
        <v>110</v>
      </c>
      <c r="F8" s="29">
        <v>200</v>
      </c>
      <c r="G8" s="29">
        <v>300</v>
      </c>
    </row>
    <row r="9" spans="1:7" x14ac:dyDescent="0.25">
      <c r="A9" s="17" t="s">
        <v>44</v>
      </c>
      <c r="B9" s="17" t="s">
        <v>37</v>
      </c>
      <c r="C9" s="29">
        <v>0</v>
      </c>
      <c r="D9" s="29">
        <v>0</v>
      </c>
      <c r="E9" s="29">
        <v>20</v>
      </c>
      <c r="F9" s="29">
        <v>0</v>
      </c>
      <c r="G9" s="29">
        <v>450</v>
      </c>
    </row>
    <row r="10" spans="1:7" x14ac:dyDescent="0.25">
      <c r="A10" s="17" t="s">
        <v>45</v>
      </c>
      <c r="B10" s="17" t="s">
        <v>37</v>
      </c>
      <c r="C10" s="29">
        <v>450</v>
      </c>
      <c r="D10" s="29">
        <v>0</v>
      </c>
      <c r="E10" s="29">
        <v>0</v>
      </c>
      <c r="F10" s="29">
        <v>0</v>
      </c>
      <c r="G10" s="29">
        <v>500</v>
      </c>
    </row>
    <row r="11" spans="1:7" x14ac:dyDescent="0.25">
      <c r="A11" s="17" t="s">
        <v>46</v>
      </c>
      <c r="B11" s="17" t="s">
        <v>37</v>
      </c>
      <c r="C11" s="29">
        <v>250</v>
      </c>
      <c r="D11" s="29">
        <v>0</v>
      </c>
      <c r="E11" s="29">
        <v>0</v>
      </c>
      <c r="F11" s="29">
        <v>0</v>
      </c>
      <c r="G11" s="29">
        <v>0</v>
      </c>
    </row>
    <row r="12" spans="1:7" x14ac:dyDescent="0.25">
      <c r="A12" s="17" t="s">
        <v>49</v>
      </c>
      <c r="B12" s="17" t="s">
        <v>37</v>
      </c>
      <c r="C12" s="29">
        <v>0</v>
      </c>
      <c r="D12" s="29">
        <v>300</v>
      </c>
      <c r="E12" s="29">
        <v>0</v>
      </c>
      <c r="F12" s="29">
        <v>350</v>
      </c>
      <c r="G12" s="29">
        <v>0</v>
      </c>
    </row>
    <row r="13" spans="1:7" x14ac:dyDescent="0.25">
      <c r="A13" s="17" t="s">
        <v>52</v>
      </c>
      <c r="B13" s="17" t="s">
        <v>37</v>
      </c>
      <c r="C13" s="29">
        <v>5</v>
      </c>
      <c r="D13" s="29">
        <v>0</v>
      </c>
      <c r="E13" s="29">
        <v>5</v>
      </c>
      <c r="F13" s="29">
        <v>0</v>
      </c>
      <c r="G13" s="29">
        <v>8</v>
      </c>
    </row>
    <row r="14" spans="1:7" x14ac:dyDescent="0.25">
      <c r="A14" s="17" t="s">
        <v>55</v>
      </c>
      <c r="B14" s="17" t="s">
        <v>37</v>
      </c>
      <c r="C14" s="29">
        <v>8</v>
      </c>
      <c r="D14" s="29">
        <v>10</v>
      </c>
      <c r="E14" s="29">
        <v>0</v>
      </c>
      <c r="F14" s="29">
        <v>10</v>
      </c>
      <c r="G14" s="29">
        <v>0</v>
      </c>
    </row>
    <row r="15" spans="1:7" x14ac:dyDescent="0.25">
      <c r="A15" s="17" t="s">
        <v>56</v>
      </c>
      <c r="B15" s="17" t="s">
        <v>37</v>
      </c>
      <c r="C15" s="29">
        <v>5</v>
      </c>
      <c r="D15" s="29">
        <v>10</v>
      </c>
      <c r="E15" s="29">
        <v>0</v>
      </c>
      <c r="F15" s="29">
        <v>8</v>
      </c>
      <c r="G15" s="29">
        <v>3</v>
      </c>
    </row>
    <row r="16" spans="1:7" x14ac:dyDescent="0.25">
      <c r="A16" s="17" t="s">
        <v>57</v>
      </c>
      <c r="B16" s="17" t="s">
        <v>37</v>
      </c>
      <c r="C16" s="29">
        <v>0</v>
      </c>
      <c r="D16" s="29">
        <v>0</v>
      </c>
      <c r="E16" s="29">
        <v>0</v>
      </c>
      <c r="F16" s="29">
        <v>3</v>
      </c>
      <c r="G16" s="29">
        <v>0</v>
      </c>
    </row>
    <row r="17" spans="1:7" x14ac:dyDescent="0.25">
      <c r="A17" s="17" t="s">
        <v>59</v>
      </c>
      <c r="B17" s="17" t="s">
        <v>37</v>
      </c>
      <c r="C17" s="29">
        <v>250</v>
      </c>
      <c r="D17" s="29">
        <v>250</v>
      </c>
      <c r="E17" s="29">
        <v>0</v>
      </c>
      <c r="F17" s="29">
        <v>250</v>
      </c>
      <c r="G17" s="29">
        <v>0</v>
      </c>
    </row>
    <row r="18" spans="1:7" x14ac:dyDescent="0.25">
      <c r="A18" s="17" t="s">
        <v>62</v>
      </c>
      <c r="B18" s="17" t="s">
        <v>63</v>
      </c>
      <c r="C18" s="29">
        <v>0</v>
      </c>
      <c r="D18" s="29">
        <v>0</v>
      </c>
      <c r="E18" s="29">
        <v>5</v>
      </c>
      <c r="F18" s="29">
        <v>0</v>
      </c>
      <c r="G18" s="29">
        <v>5</v>
      </c>
    </row>
    <row r="19" spans="1:7" x14ac:dyDescent="0.25">
      <c r="A19" s="17" t="s">
        <v>64</v>
      </c>
      <c r="B19" s="17" t="s">
        <v>63</v>
      </c>
      <c r="C19" s="29">
        <v>0</v>
      </c>
      <c r="D19" s="29">
        <v>0</v>
      </c>
      <c r="E19" s="29">
        <v>0</v>
      </c>
      <c r="F19" s="29">
        <v>0</v>
      </c>
      <c r="G19" s="29">
        <v>0</v>
      </c>
    </row>
    <row r="20" spans="1:7" x14ac:dyDescent="0.25">
      <c r="A20" s="17" t="s">
        <v>66</v>
      </c>
      <c r="B20" s="17" t="s">
        <v>67</v>
      </c>
      <c r="C20" s="29">
        <v>3</v>
      </c>
      <c r="D20" s="29">
        <v>3</v>
      </c>
      <c r="E20" s="29">
        <v>1</v>
      </c>
      <c r="F20" s="29">
        <v>3</v>
      </c>
      <c r="G20" s="29">
        <v>2</v>
      </c>
    </row>
    <row r="21" spans="1:7" x14ac:dyDescent="0.25">
      <c r="A21" s="17" t="s">
        <v>68</v>
      </c>
      <c r="B21" s="17" t="s">
        <v>63</v>
      </c>
      <c r="C21" s="29">
        <v>15</v>
      </c>
      <c r="D21" s="29">
        <v>0</v>
      </c>
      <c r="E21" s="29">
        <v>0</v>
      </c>
      <c r="F21" s="29">
        <v>0</v>
      </c>
      <c r="G21" s="29">
        <v>10</v>
      </c>
    </row>
    <row r="22" spans="1:7" x14ac:dyDescent="0.25">
      <c r="A22" s="17" t="s">
        <v>70</v>
      </c>
      <c r="B22" s="17" t="s">
        <v>37</v>
      </c>
      <c r="C22" s="29">
        <v>0</v>
      </c>
      <c r="D22" s="29">
        <v>0</v>
      </c>
      <c r="E22" s="29">
        <v>400</v>
      </c>
      <c r="F22" s="29">
        <v>0</v>
      </c>
      <c r="G22" s="29">
        <v>0</v>
      </c>
    </row>
    <row r="23" spans="1:7" x14ac:dyDescent="0.25">
      <c r="A23" s="17" t="s">
        <v>72</v>
      </c>
      <c r="B23" s="17" t="s">
        <v>37</v>
      </c>
      <c r="C23" s="29">
        <v>0</v>
      </c>
      <c r="D23" s="29">
        <v>0</v>
      </c>
      <c r="E23" s="29">
        <v>90</v>
      </c>
      <c r="F23" s="29">
        <v>0</v>
      </c>
      <c r="G23" s="29">
        <v>0</v>
      </c>
    </row>
    <row r="25" spans="1:7" x14ac:dyDescent="0.25">
      <c r="A25" s="27" t="s">
        <v>86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16"/>
  <sheetViews>
    <sheetView zoomScaleNormal="100" workbookViewId="0"/>
  </sheetViews>
  <sheetFormatPr defaultColWidth="8.7109375" defaultRowHeight="15" x14ac:dyDescent="0.25"/>
  <cols>
    <col min="1" max="1" width="110" customWidth="1"/>
  </cols>
  <sheetData>
    <row r="1" spans="1:1" ht="18" x14ac:dyDescent="0.25">
      <c r="A1" s="30" t="s">
        <v>87</v>
      </c>
    </row>
    <row r="2" spans="1:1" x14ac:dyDescent="0.25">
      <c r="A2" s="31"/>
    </row>
    <row r="3" spans="1:1" x14ac:dyDescent="0.25">
      <c r="A3" s="32" t="s">
        <v>88</v>
      </c>
    </row>
    <row r="4" spans="1:1" ht="29.25" x14ac:dyDescent="0.25">
      <c r="A4" s="32" t="s">
        <v>89</v>
      </c>
    </row>
    <row r="5" spans="1:1" x14ac:dyDescent="0.25">
      <c r="A5" s="32" t="s">
        <v>90</v>
      </c>
    </row>
    <row r="6" spans="1:1" x14ac:dyDescent="0.25">
      <c r="A6" s="32" t="s">
        <v>91</v>
      </c>
    </row>
    <row r="7" spans="1:1" x14ac:dyDescent="0.25">
      <c r="A7" s="32" t="s">
        <v>92</v>
      </c>
    </row>
    <row r="8" spans="1:1" x14ac:dyDescent="0.25">
      <c r="A8" s="32" t="s">
        <v>93</v>
      </c>
    </row>
    <row r="9" spans="1:1" x14ac:dyDescent="0.25">
      <c r="A9" s="31"/>
    </row>
    <row r="10" spans="1:1" ht="15.75" x14ac:dyDescent="0.25">
      <c r="A10" s="33" t="s">
        <v>94</v>
      </c>
    </row>
    <row r="11" spans="1:1" ht="29.25" x14ac:dyDescent="0.25">
      <c r="A11" s="32" t="s">
        <v>95</v>
      </c>
    </row>
    <row r="12" spans="1:1" ht="29.25" x14ac:dyDescent="0.25">
      <c r="A12" s="32" t="s">
        <v>96</v>
      </c>
    </row>
    <row r="13" spans="1:1" x14ac:dyDescent="0.25">
      <c r="A13" s="31"/>
    </row>
    <row r="14" spans="1:1" x14ac:dyDescent="0.25">
      <c r="A14" s="32" t="s">
        <v>97</v>
      </c>
    </row>
    <row r="15" spans="1:1" x14ac:dyDescent="0.25">
      <c r="A15" s="32" t="s">
        <v>98</v>
      </c>
    </row>
    <row r="16" spans="1:1" ht="29.25" x14ac:dyDescent="0.25">
      <c r="A16" s="32" t="s">
        <v>99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Session Sheet</vt:lpstr>
      <vt:lpstr>Min Stock</vt:lpstr>
      <vt:lpstr>Recipes</vt:lpstr>
      <vt:lpstr>How to Use</vt:lpstr>
      <vt:lpstr>'Session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Christopher Mashiyane</cp:lastModifiedBy>
  <cp:revision>0</cp:revision>
  <cp:lastPrinted>2026-09-20T06:46:13Z</cp:lastPrinted>
  <dcterms:created xsi:type="dcterms:W3CDTF">2026-09-20T06:41:14Z</dcterms:created>
  <dcterms:modified xsi:type="dcterms:W3CDTF">2026-09-20T06:47:02Z</dcterms:modified>
  <dc:language>en-US</dc:language>
</cp:coreProperties>
</file>