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showInkAnnotation="0" codeName="ThisWorkbook" defaultThemeVersion="124226"/>
  <mc:AlternateContent xmlns:mc="http://schemas.openxmlformats.org/markup-compatibility/2006">
    <mc:Choice Requires="x15">
      <x15ac:absPath xmlns:x15ac="http://schemas.microsoft.com/office/spreadsheetml/2010/11/ac" url="G:\Chris Home\Documents\"/>
    </mc:Choice>
  </mc:AlternateContent>
  <xr:revisionPtr revIDLastSave="0" documentId="8_{C162D67E-6981-4ED6-ACAD-9E0710DEF68C}" xr6:coauthVersionLast="47" xr6:coauthVersionMax="47" xr10:uidLastSave="{00000000-0000-0000-0000-000000000000}"/>
  <bookViews>
    <workbookView xWindow="-26640" yWindow="2625" windowWidth="21600" windowHeight="11835" firstSheet="24" activeTab="30" xr2:uid="{00000000-000D-0000-FFFF-FFFF00000000}"/>
  </bookViews>
  <sheets>
    <sheet name="Invoice" sheetId="1" r:id="rId1"/>
    <sheet name="Invoice 2" sheetId="9" r:id="rId2"/>
    <sheet name="Invoice 3" sheetId="10" r:id="rId3"/>
    <sheet name="Invoice 4" sheetId="11" r:id="rId4"/>
    <sheet name="Invoice 5" sheetId="12" r:id="rId5"/>
    <sheet name="Invoice 6" sheetId="13" r:id="rId6"/>
    <sheet name="Invoice 7" sheetId="14" r:id="rId7"/>
    <sheet name="Invoice 8" sheetId="15" r:id="rId8"/>
    <sheet name="Invoice 9" sheetId="16" r:id="rId9"/>
    <sheet name="Invoice 10" sheetId="17" r:id="rId10"/>
    <sheet name="Invoice 11" sheetId="18" r:id="rId11"/>
    <sheet name="Invoice 12" sheetId="19" r:id="rId12"/>
    <sheet name="Invoice 13" sheetId="20" r:id="rId13"/>
    <sheet name="Invoice 14" sheetId="21" r:id="rId14"/>
    <sheet name="Invoice 15" sheetId="22" r:id="rId15"/>
    <sheet name="Invoice 16" sheetId="23" r:id="rId16"/>
    <sheet name="Invoice 17" sheetId="24" r:id="rId17"/>
    <sheet name="Invoice 18" sheetId="25" r:id="rId18"/>
    <sheet name="Invoice 19" sheetId="26" r:id="rId19"/>
    <sheet name="Invoice 20" sheetId="27" r:id="rId20"/>
    <sheet name="Invoice 21" sheetId="28" r:id="rId21"/>
    <sheet name="Invoice 22" sheetId="29" r:id="rId22"/>
    <sheet name="Invoice 23" sheetId="30" r:id="rId23"/>
    <sheet name="Invoice 24" sheetId="31" r:id="rId24"/>
    <sheet name="Invoice 25" sheetId="32" r:id="rId25"/>
    <sheet name="Invoice 30" sheetId="34" r:id="rId26"/>
    <sheet name="Invoice 31" sheetId="35" r:id="rId27"/>
    <sheet name="Invoice 32" sheetId="38" r:id="rId28"/>
    <sheet name="Invoice 33" sheetId="37" r:id="rId29"/>
    <sheet name="Invoice 34" sheetId="36" r:id="rId30"/>
    <sheet name="Invoice 36" sheetId="39" r:id="rId31"/>
    <sheet name="Invoice 35" sheetId="33" r:id="rId32"/>
  </sheets>
  <definedNames>
    <definedName name="_xlnm.Print_Area" localSheetId="0">Invoice!$B$2:$N$66</definedName>
    <definedName name="_xlnm.Print_Area" localSheetId="9">'Invoice 10'!$B$2:$N$66</definedName>
    <definedName name="_xlnm.Print_Area" localSheetId="10">'Invoice 11'!$B$2:$N$66</definedName>
    <definedName name="_xlnm.Print_Area" localSheetId="11">'Invoice 12'!$B$2:$N$66</definedName>
    <definedName name="_xlnm.Print_Area" localSheetId="12">'Invoice 13'!$B$2:$N$66</definedName>
    <definedName name="_xlnm.Print_Area" localSheetId="13">'Invoice 14'!$B$2:$N$66</definedName>
    <definedName name="_xlnm.Print_Area" localSheetId="14">'Invoice 15'!$B$2:$N$66</definedName>
    <definedName name="_xlnm.Print_Area" localSheetId="15">'Invoice 16'!$B$2:$N$66</definedName>
    <definedName name="_xlnm.Print_Area" localSheetId="16">'Invoice 17'!$B$2:$N$66</definedName>
    <definedName name="_xlnm.Print_Area" localSheetId="17">'Invoice 18'!$B$2:$N$66</definedName>
    <definedName name="_xlnm.Print_Area" localSheetId="18">'Invoice 19'!$B$2:$N$66</definedName>
    <definedName name="_xlnm.Print_Area" localSheetId="1">'Invoice 2'!$B$2:$N$66</definedName>
    <definedName name="_xlnm.Print_Area" localSheetId="19">'Invoice 20'!$B$2:$N$66</definedName>
    <definedName name="_xlnm.Print_Area" localSheetId="20">'Invoice 21'!$B$2:$N$66</definedName>
    <definedName name="_xlnm.Print_Area" localSheetId="21">'Invoice 22'!$B$2:$N$66</definedName>
    <definedName name="_xlnm.Print_Area" localSheetId="22">'Invoice 23'!$B$2:$N$66</definedName>
    <definedName name="_xlnm.Print_Area" localSheetId="23">'Invoice 24'!$B$2:$N$66</definedName>
    <definedName name="_xlnm.Print_Area" localSheetId="24">'Invoice 25'!$B$2:$N$66</definedName>
    <definedName name="_xlnm.Print_Area" localSheetId="2">'Invoice 3'!$B$2:$N$66</definedName>
    <definedName name="_xlnm.Print_Area" localSheetId="25">'Invoice 30'!$B$2:$N$66</definedName>
    <definedName name="_xlnm.Print_Area" localSheetId="26">'Invoice 31'!$B$2:$N$66</definedName>
    <definedName name="_xlnm.Print_Area" localSheetId="27">'Invoice 32'!$B$2:$N$64</definedName>
    <definedName name="_xlnm.Print_Area" localSheetId="28">'Invoice 33'!$B$2:$N$64</definedName>
    <definedName name="_xlnm.Print_Area" localSheetId="29">'Invoice 34'!$B$2:$N$64</definedName>
    <definedName name="_xlnm.Print_Area" localSheetId="31">'Invoice 35'!$B$2:$N$64</definedName>
    <definedName name="_xlnm.Print_Area" localSheetId="30">'Invoice 36'!$B$2:$N$64</definedName>
    <definedName name="_xlnm.Print_Area" localSheetId="3">'Invoice 4'!$B$2:$N$66</definedName>
    <definedName name="_xlnm.Print_Area" localSheetId="4">'Invoice 5'!$B$2:$N$66</definedName>
    <definedName name="_xlnm.Print_Area" localSheetId="5">'Invoice 6'!$B$2:$N$66</definedName>
    <definedName name="_xlnm.Print_Area" localSheetId="6">'Invoice 7'!$B$2:$N$66</definedName>
    <definedName name="_xlnm.Print_Area" localSheetId="7">'Invoice 8'!$B$2:$N$66</definedName>
    <definedName name="_xlnm.Print_Area" localSheetId="8">'Invoice 9'!$B$2:$N$66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45" i="39" l="1"/>
  <c r="M43" i="39"/>
  <c r="M41" i="39"/>
  <c r="M39" i="39"/>
  <c r="M37" i="39"/>
  <c r="M36" i="39"/>
  <c r="M33" i="39"/>
  <c r="M30" i="39"/>
  <c r="M29" i="39"/>
  <c r="M27" i="39"/>
  <c r="M25" i="39"/>
  <c r="M24" i="39"/>
  <c r="M22" i="39"/>
  <c r="M20" i="39"/>
  <c r="M46" i="39" s="1"/>
  <c r="M50" i="39" s="1"/>
  <c r="M21" i="37"/>
  <c r="M19" i="37"/>
  <c r="M21" i="36"/>
  <c r="M22" i="36"/>
  <c r="M23" i="36"/>
  <c r="M24" i="36"/>
  <c r="M25" i="36"/>
  <c r="M26" i="36"/>
  <c r="M27" i="36"/>
  <c r="M28" i="36"/>
  <c r="M29" i="36"/>
  <c r="M30" i="36"/>
  <c r="M31" i="36"/>
  <c r="M32" i="36"/>
  <c r="M33" i="36"/>
  <c r="M34" i="36"/>
  <c r="M35" i="36"/>
  <c r="M36" i="36"/>
  <c r="M37" i="36"/>
  <c r="M38" i="36"/>
  <c r="M39" i="36"/>
  <c r="M40" i="36"/>
  <c r="M41" i="36"/>
  <c r="M42" i="36"/>
  <c r="M43" i="36"/>
  <c r="M44" i="36"/>
  <c r="M45" i="36"/>
  <c r="M19" i="36"/>
  <c r="M45" i="38"/>
  <c r="M43" i="38"/>
  <c r="M41" i="38"/>
  <c r="M39" i="38"/>
  <c r="M37" i="38"/>
  <c r="M36" i="38"/>
  <c r="M33" i="38"/>
  <c r="M30" i="38"/>
  <c r="M29" i="38"/>
  <c r="M27" i="38"/>
  <c r="M25" i="38"/>
  <c r="M24" i="38"/>
  <c r="M22" i="38"/>
  <c r="M20" i="38"/>
  <c r="M46" i="38" s="1"/>
  <c r="M50" i="38" s="1"/>
  <c r="M45" i="37"/>
  <c r="M43" i="37"/>
  <c r="M41" i="37"/>
  <c r="M39" i="37"/>
  <c r="M37" i="37"/>
  <c r="M36" i="37"/>
  <c r="M33" i="37"/>
  <c r="M30" i="37"/>
  <c r="M29" i="37"/>
  <c r="M27" i="37"/>
  <c r="M25" i="37"/>
  <c r="M24" i="37"/>
  <c r="M22" i="37"/>
  <c r="M20" i="37"/>
  <c r="M46" i="37" s="1"/>
  <c r="M50" i="37" s="1"/>
  <c r="M20" i="36"/>
  <c r="M47" i="35"/>
  <c r="M45" i="35"/>
  <c r="M43" i="35"/>
  <c r="M41" i="35"/>
  <c r="M39" i="35"/>
  <c r="M38" i="35"/>
  <c r="M35" i="35"/>
  <c r="M32" i="35"/>
  <c r="M31" i="35"/>
  <c r="M29" i="35"/>
  <c r="M27" i="35"/>
  <c r="M26" i="35"/>
  <c r="M24" i="35"/>
  <c r="M23" i="35"/>
  <c r="M22" i="35"/>
  <c r="M21" i="35"/>
  <c r="M19" i="35"/>
  <c r="M47" i="34"/>
  <c r="M45" i="34"/>
  <c r="M43" i="34"/>
  <c r="M41" i="34"/>
  <c r="M39" i="34"/>
  <c r="M38" i="34"/>
  <c r="M35" i="34"/>
  <c r="M32" i="34"/>
  <c r="M31" i="34"/>
  <c r="M29" i="34"/>
  <c r="M27" i="34"/>
  <c r="M26" i="34"/>
  <c r="M24" i="34"/>
  <c r="M23" i="34"/>
  <c r="M22" i="34"/>
  <c r="M21" i="34"/>
  <c r="M19" i="34"/>
  <c r="M45" i="33"/>
  <c r="M43" i="33"/>
  <c r="M41" i="33"/>
  <c r="M39" i="33"/>
  <c r="M37" i="33"/>
  <c r="M36" i="33"/>
  <c r="M33" i="33"/>
  <c r="M30" i="33"/>
  <c r="M29" i="33"/>
  <c r="M27" i="33"/>
  <c r="M25" i="33"/>
  <c r="M24" i="33"/>
  <c r="M22" i="33"/>
  <c r="M20" i="33"/>
  <c r="M47" i="32"/>
  <c r="M45" i="32"/>
  <c r="M43" i="32"/>
  <c r="M41" i="32"/>
  <c r="M39" i="32"/>
  <c r="M38" i="32"/>
  <c r="M35" i="32"/>
  <c r="M32" i="32"/>
  <c r="M31" i="32"/>
  <c r="M29" i="32"/>
  <c r="M27" i="32"/>
  <c r="M26" i="32"/>
  <c r="M25" i="32"/>
  <c r="M24" i="32"/>
  <c r="M23" i="32"/>
  <c r="M22" i="32"/>
  <c r="M21" i="32"/>
  <c r="M19" i="32"/>
  <c r="M47" i="31"/>
  <c r="M45" i="31"/>
  <c r="M43" i="31"/>
  <c r="M41" i="31"/>
  <c r="M39" i="31"/>
  <c r="M38" i="31"/>
  <c r="M35" i="31"/>
  <c r="M32" i="31"/>
  <c r="M31" i="31"/>
  <c r="M29" i="31"/>
  <c r="M27" i="31"/>
  <c r="M26" i="31"/>
  <c r="M25" i="31"/>
  <c r="M24" i="31"/>
  <c r="M23" i="31"/>
  <c r="M22" i="31"/>
  <c r="M21" i="31"/>
  <c r="M19" i="31"/>
  <c r="M47" i="30"/>
  <c r="M45" i="30"/>
  <c r="M43" i="30"/>
  <c r="M41" i="30"/>
  <c r="M39" i="30"/>
  <c r="M38" i="30"/>
  <c r="M35" i="30"/>
  <c r="M32" i="30"/>
  <c r="M31" i="30"/>
  <c r="M29" i="30"/>
  <c r="M27" i="30"/>
  <c r="M26" i="30"/>
  <c r="M25" i="30"/>
  <c r="M24" i="30"/>
  <c r="M23" i="30"/>
  <c r="M22" i="30"/>
  <c r="M21" i="30"/>
  <c r="M19" i="30"/>
  <c r="M47" i="29"/>
  <c r="M45" i="29"/>
  <c r="M43" i="29"/>
  <c r="M41" i="29"/>
  <c r="M39" i="29"/>
  <c r="M38" i="29"/>
  <c r="M35" i="29"/>
  <c r="M32" i="29"/>
  <c r="M31" i="29"/>
  <c r="M29" i="29"/>
  <c r="M27" i="29"/>
  <c r="M26" i="29"/>
  <c r="M25" i="29"/>
  <c r="M24" i="29"/>
  <c r="M23" i="29"/>
  <c r="M22" i="29"/>
  <c r="M21" i="29"/>
  <c r="M19" i="29"/>
  <c r="M47" i="28"/>
  <c r="M45" i="28"/>
  <c r="M43" i="28"/>
  <c r="M41" i="28"/>
  <c r="M39" i="28"/>
  <c r="M38" i="28"/>
  <c r="M35" i="28"/>
  <c r="M32" i="28"/>
  <c r="M31" i="28"/>
  <c r="M29" i="28"/>
  <c r="M27" i="28"/>
  <c r="M26" i="28"/>
  <c r="M25" i="28"/>
  <c r="M24" i="28"/>
  <c r="M23" i="28"/>
  <c r="M22" i="28"/>
  <c r="M21" i="28"/>
  <c r="M19" i="28"/>
  <c r="M47" i="27"/>
  <c r="M45" i="27"/>
  <c r="M43" i="27"/>
  <c r="M41" i="27"/>
  <c r="M39" i="27"/>
  <c r="M38" i="27"/>
  <c r="M35" i="27"/>
  <c r="M32" i="27"/>
  <c r="M31" i="27"/>
  <c r="M29" i="27"/>
  <c r="M27" i="27"/>
  <c r="M26" i="27"/>
  <c r="M25" i="27"/>
  <c r="M24" i="27"/>
  <c r="M23" i="27"/>
  <c r="M22" i="27"/>
  <c r="M21" i="27"/>
  <c r="M19" i="27"/>
  <c r="M47" i="26"/>
  <c r="M45" i="26"/>
  <c r="M43" i="26"/>
  <c r="M41" i="26"/>
  <c r="M39" i="26"/>
  <c r="M38" i="26"/>
  <c r="M35" i="26"/>
  <c r="M32" i="26"/>
  <c r="M31" i="26"/>
  <c r="M29" i="26"/>
  <c r="M27" i="26"/>
  <c r="M26" i="26"/>
  <c r="M25" i="26"/>
  <c r="M24" i="26"/>
  <c r="M23" i="26"/>
  <c r="M22" i="26"/>
  <c r="M21" i="26"/>
  <c r="M19" i="26"/>
  <c r="M47" i="25"/>
  <c r="M45" i="25"/>
  <c r="M43" i="25"/>
  <c r="M41" i="25"/>
  <c r="M39" i="25"/>
  <c r="M38" i="25"/>
  <c r="M35" i="25"/>
  <c r="M32" i="25"/>
  <c r="M31" i="25"/>
  <c r="M29" i="25"/>
  <c r="M27" i="25"/>
  <c r="M26" i="25"/>
  <c r="M25" i="25"/>
  <c r="M24" i="25"/>
  <c r="M23" i="25"/>
  <c r="M22" i="25"/>
  <c r="M21" i="25"/>
  <c r="M19" i="25"/>
  <c r="M48" i="25" s="1"/>
  <c r="M52" i="25" s="1"/>
  <c r="M47" i="24"/>
  <c r="M45" i="24"/>
  <c r="M43" i="24"/>
  <c r="M41" i="24"/>
  <c r="M39" i="24"/>
  <c r="M38" i="24"/>
  <c r="M35" i="24"/>
  <c r="M32" i="24"/>
  <c r="M31" i="24"/>
  <c r="M29" i="24"/>
  <c r="M27" i="24"/>
  <c r="M26" i="24"/>
  <c r="M25" i="24"/>
  <c r="M24" i="24"/>
  <c r="M23" i="24"/>
  <c r="M22" i="24"/>
  <c r="M21" i="24"/>
  <c r="M19" i="24"/>
  <c r="M48" i="24" s="1"/>
  <c r="M52" i="24" s="1"/>
  <c r="M47" i="23"/>
  <c r="M45" i="23"/>
  <c r="M43" i="23"/>
  <c r="M41" i="23"/>
  <c r="M39" i="23"/>
  <c r="M38" i="23"/>
  <c r="M35" i="23"/>
  <c r="M32" i="23"/>
  <c r="M31" i="23"/>
  <c r="M29" i="23"/>
  <c r="M27" i="23"/>
  <c r="M26" i="23"/>
  <c r="M25" i="23"/>
  <c r="M24" i="23"/>
  <c r="M23" i="23"/>
  <c r="M22" i="23"/>
  <c r="M21" i="23"/>
  <c r="M19" i="23"/>
  <c r="M47" i="22"/>
  <c r="M45" i="22"/>
  <c r="M43" i="22"/>
  <c r="M41" i="22"/>
  <c r="M39" i="22"/>
  <c r="M38" i="22"/>
  <c r="M35" i="22"/>
  <c r="M32" i="22"/>
  <c r="M31" i="22"/>
  <c r="M29" i="22"/>
  <c r="M27" i="22"/>
  <c r="M26" i="22"/>
  <c r="M25" i="22"/>
  <c r="M24" i="22"/>
  <c r="M23" i="22"/>
  <c r="M22" i="22"/>
  <c r="M21" i="22"/>
  <c r="M19" i="22"/>
  <c r="M47" i="21"/>
  <c r="M45" i="21"/>
  <c r="M43" i="21"/>
  <c r="M41" i="21"/>
  <c r="M39" i="21"/>
  <c r="M38" i="21"/>
  <c r="M35" i="21"/>
  <c r="M32" i="21"/>
  <c r="M31" i="21"/>
  <c r="M29" i="21"/>
  <c r="M27" i="21"/>
  <c r="M26" i="21"/>
  <c r="M25" i="21"/>
  <c r="M24" i="21"/>
  <c r="M23" i="21"/>
  <c r="M22" i="21"/>
  <c r="M21" i="21"/>
  <c r="M19" i="21"/>
  <c r="M47" i="20"/>
  <c r="M45" i="20"/>
  <c r="M43" i="20"/>
  <c r="M41" i="20"/>
  <c r="M39" i="20"/>
  <c r="M38" i="20"/>
  <c r="M35" i="20"/>
  <c r="M32" i="20"/>
  <c r="M31" i="20"/>
  <c r="M29" i="20"/>
  <c r="M27" i="20"/>
  <c r="M26" i="20"/>
  <c r="M25" i="20"/>
  <c r="M24" i="20"/>
  <c r="M23" i="20"/>
  <c r="M22" i="20"/>
  <c r="M21" i="20"/>
  <c r="M19" i="20"/>
  <c r="M47" i="19"/>
  <c r="M45" i="19"/>
  <c r="M43" i="19"/>
  <c r="M41" i="19"/>
  <c r="M39" i="19"/>
  <c r="M38" i="19"/>
  <c r="M35" i="19"/>
  <c r="M32" i="19"/>
  <c r="M31" i="19"/>
  <c r="M29" i="19"/>
  <c r="M27" i="19"/>
  <c r="M26" i="19"/>
  <c r="M25" i="19"/>
  <c r="M24" i="19"/>
  <c r="M23" i="19"/>
  <c r="M22" i="19"/>
  <c r="M21" i="19"/>
  <c r="M19" i="19"/>
  <c r="M52" i="18"/>
  <c r="M48" i="18"/>
  <c r="M47" i="18"/>
  <c r="M45" i="18"/>
  <c r="M43" i="18"/>
  <c r="M41" i="18"/>
  <c r="M39" i="18"/>
  <c r="M38" i="18"/>
  <c r="M35" i="18"/>
  <c r="M32" i="18"/>
  <c r="M31" i="18"/>
  <c r="M29" i="18"/>
  <c r="M27" i="18"/>
  <c r="M26" i="18"/>
  <c r="M25" i="18"/>
  <c r="M24" i="18"/>
  <c r="M23" i="18"/>
  <c r="M22" i="18"/>
  <c r="M21" i="18"/>
  <c r="M19" i="18"/>
  <c r="M52" i="17"/>
  <c r="M48" i="17"/>
  <c r="M47" i="17"/>
  <c r="M45" i="17"/>
  <c r="M43" i="17"/>
  <c r="M41" i="17"/>
  <c r="M39" i="17"/>
  <c r="M38" i="17"/>
  <c r="M35" i="17"/>
  <c r="M32" i="17"/>
  <c r="M31" i="17"/>
  <c r="M29" i="17"/>
  <c r="M27" i="17"/>
  <c r="M26" i="17"/>
  <c r="M25" i="17"/>
  <c r="M24" i="17"/>
  <c r="M23" i="17"/>
  <c r="M22" i="17"/>
  <c r="M21" i="17"/>
  <c r="M19" i="17"/>
  <c r="M52" i="16"/>
  <c r="M48" i="16"/>
  <c r="M47" i="16"/>
  <c r="M45" i="16"/>
  <c r="M43" i="16"/>
  <c r="M41" i="16"/>
  <c r="M39" i="16"/>
  <c r="M38" i="16"/>
  <c r="M35" i="16"/>
  <c r="M32" i="16"/>
  <c r="M31" i="16"/>
  <c r="M29" i="16"/>
  <c r="M27" i="16"/>
  <c r="M26" i="16"/>
  <c r="M25" i="16"/>
  <c r="M24" i="16"/>
  <c r="M23" i="16"/>
  <c r="M22" i="16"/>
  <c r="M21" i="16"/>
  <c r="M52" i="15"/>
  <c r="M48" i="15"/>
  <c r="M47" i="15"/>
  <c r="M45" i="15"/>
  <c r="M43" i="15"/>
  <c r="M41" i="15"/>
  <c r="M39" i="15"/>
  <c r="M38" i="15"/>
  <c r="M35" i="15"/>
  <c r="M32" i="15"/>
  <c r="M31" i="15"/>
  <c r="M29" i="15"/>
  <c r="M27" i="15"/>
  <c r="M26" i="15"/>
  <c r="M25" i="15"/>
  <c r="M24" i="15"/>
  <c r="M23" i="15"/>
  <c r="M22" i="15"/>
  <c r="M21" i="15"/>
  <c r="M19" i="15"/>
  <c r="M52" i="14"/>
  <c r="M48" i="14"/>
  <c r="M47" i="14"/>
  <c r="M45" i="14"/>
  <c r="M43" i="14"/>
  <c r="M41" i="14"/>
  <c r="M39" i="14"/>
  <c r="M38" i="14"/>
  <c r="M35" i="14"/>
  <c r="M32" i="14"/>
  <c r="M31" i="14"/>
  <c r="M29" i="14"/>
  <c r="M27" i="14"/>
  <c r="M26" i="14"/>
  <c r="M25" i="14"/>
  <c r="M24" i="14"/>
  <c r="M23" i="14"/>
  <c r="M22" i="14"/>
  <c r="M21" i="14"/>
  <c r="M19" i="14"/>
  <c r="M52" i="13"/>
  <c r="M48" i="13"/>
  <c r="M47" i="13"/>
  <c r="M45" i="13"/>
  <c r="M43" i="13"/>
  <c r="M41" i="13"/>
  <c r="M39" i="13"/>
  <c r="M38" i="13"/>
  <c r="M35" i="13"/>
  <c r="M32" i="13"/>
  <c r="M31" i="13"/>
  <c r="M29" i="13"/>
  <c r="M27" i="13"/>
  <c r="M26" i="13"/>
  <c r="M24" i="13"/>
  <c r="M22" i="13"/>
  <c r="M21" i="13"/>
  <c r="M19" i="13"/>
  <c r="M52" i="12"/>
  <c r="M48" i="12"/>
  <c r="M47" i="12"/>
  <c r="M45" i="12"/>
  <c r="M43" i="12"/>
  <c r="M41" i="12"/>
  <c r="M39" i="12"/>
  <c r="M38" i="12"/>
  <c r="M35" i="12"/>
  <c r="M32" i="12"/>
  <c r="M31" i="12"/>
  <c r="M29" i="12"/>
  <c r="M27" i="12"/>
  <c r="M26" i="12"/>
  <c r="M24" i="12"/>
  <c r="M22" i="12"/>
  <c r="M21" i="12"/>
  <c r="M19" i="12"/>
  <c r="M13" i="12"/>
  <c r="M52" i="11"/>
  <c r="M48" i="11"/>
  <c r="M47" i="11"/>
  <c r="M45" i="11"/>
  <c r="M43" i="11"/>
  <c r="M41" i="11"/>
  <c r="M39" i="11"/>
  <c r="M38" i="11"/>
  <c r="M35" i="11"/>
  <c r="M32" i="11"/>
  <c r="M31" i="11"/>
  <c r="M29" i="11"/>
  <c r="M27" i="11"/>
  <c r="M26" i="11"/>
  <c r="M24" i="11"/>
  <c r="M22" i="11"/>
  <c r="M21" i="11"/>
  <c r="M19" i="11"/>
  <c r="M13" i="11"/>
  <c r="M52" i="10"/>
  <c r="M48" i="10"/>
  <c r="M47" i="10"/>
  <c r="M45" i="10"/>
  <c r="M43" i="10"/>
  <c r="M41" i="10"/>
  <c r="M39" i="10"/>
  <c r="M38" i="10"/>
  <c r="M35" i="10"/>
  <c r="M32" i="10"/>
  <c r="M31" i="10"/>
  <c r="M29" i="10"/>
  <c r="M27" i="10"/>
  <c r="M26" i="10"/>
  <c r="M24" i="10"/>
  <c r="M22" i="10"/>
  <c r="M21" i="10"/>
  <c r="M19" i="10"/>
  <c r="M52" i="9"/>
  <c r="M48" i="9"/>
  <c r="M47" i="9"/>
  <c r="M45" i="9"/>
  <c r="M43" i="9"/>
  <c r="M41" i="9"/>
  <c r="M39" i="9"/>
  <c r="M38" i="9"/>
  <c r="M35" i="9"/>
  <c r="M32" i="9"/>
  <c r="M31" i="9"/>
  <c r="M29" i="9"/>
  <c r="M27" i="9"/>
  <c r="M26" i="9"/>
  <c r="M24" i="9"/>
  <c r="M22" i="9"/>
  <c r="M21" i="9"/>
  <c r="M19" i="9"/>
  <c r="M52" i="1"/>
  <c r="M48" i="1"/>
  <c r="M47" i="1"/>
  <c r="M45" i="1"/>
  <c r="M43" i="1"/>
  <c r="M41" i="1"/>
  <c r="M39" i="1"/>
  <c r="M38" i="1"/>
  <c r="M35" i="1"/>
  <c r="M32" i="1"/>
  <c r="M31" i="1"/>
  <c r="M29" i="1"/>
  <c r="M27" i="1"/>
  <c r="M26" i="1"/>
  <c r="M24" i="1"/>
  <c r="M22" i="1"/>
  <c r="M21" i="1"/>
  <c r="M19" i="1"/>
  <c r="M46" i="36" l="1"/>
  <c r="M50" i="36" s="1"/>
  <c r="M48" i="34"/>
  <c r="M52" i="34" s="1"/>
  <c r="M48" i="35"/>
  <c r="M52" i="35" s="1"/>
  <c r="M46" i="33"/>
  <c r="M50" i="33" s="1"/>
  <c r="M48" i="32"/>
  <c r="M52" i="32" s="1"/>
  <c r="M48" i="31"/>
  <c r="M52" i="31" s="1"/>
  <c r="M48" i="30"/>
  <c r="M52" i="30" s="1"/>
  <c r="M48" i="29"/>
  <c r="M52" i="29" s="1"/>
  <c r="M48" i="28"/>
  <c r="M52" i="28" s="1"/>
  <c r="M48" i="27"/>
  <c r="M52" i="27" s="1"/>
  <c r="M48" i="26"/>
  <c r="M52" i="26" s="1"/>
  <c r="M48" i="23"/>
  <c r="M52" i="23" s="1"/>
  <c r="M48" i="22"/>
  <c r="M52" i="22" s="1"/>
  <c r="M48" i="21"/>
  <c r="M52" i="21" s="1"/>
  <c r="M48" i="20"/>
  <c r="M52" i="20" s="1"/>
  <c r="M48" i="19"/>
  <c r="M52" i="19" s="1"/>
</calcChain>
</file>

<file path=xl/sharedStrings.xml><?xml version="1.0" encoding="utf-8"?>
<sst xmlns="http://schemas.openxmlformats.org/spreadsheetml/2006/main" count="1124" uniqueCount="98">
  <si>
    <t>Name</t>
  </si>
  <si>
    <t>Date</t>
  </si>
  <si>
    <t>Address</t>
  </si>
  <si>
    <t>Order No.</t>
  </si>
  <si>
    <t>City</t>
  </si>
  <si>
    <t>Rep</t>
  </si>
  <si>
    <t>Phone</t>
  </si>
  <si>
    <t>FOB</t>
  </si>
  <si>
    <t>Qty</t>
  </si>
  <si>
    <t>Description</t>
  </si>
  <si>
    <t>Unit Price</t>
  </si>
  <si>
    <t>TOTAL</t>
  </si>
  <si>
    <t xml:space="preserve">SubTotal  </t>
  </si>
  <si>
    <t xml:space="preserve">TOTAL  </t>
  </si>
  <si>
    <t>Customer</t>
  </si>
  <si>
    <t>Misc</t>
  </si>
  <si>
    <t>Payment</t>
  </si>
  <si>
    <t>Tax Rate(s)</t>
  </si>
  <si>
    <t>Cash</t>
  </si>
  <si>
    <t>Check</t>
  </si>
  <si>
    <t>Credit</t>
  </si>
  <si>
    <t>Other</t>
  </si>
  <si>
    <t>Code</t>
  </si>
  <si>
    <t>Invoice No.</t>
  </si>
  <si>
    <t>Invoice</t>
  </si>
  <si>
    <t>Bank: First National Bank
Branch Name: Matsapha
Branch Code: 281064
Account Type: Cheque
Account No.: 62871478006
Account Name: Dominique Richter</t>
  </si>
  <si>
    <t>P.O. Box 2700
Matsapha
Swaziland
Cell: (+268) 621 0474
morrelloblue@gmail.com</t>
  </si>
  <si>
    <t>It has been a pleasure working with you.</t>
  </si>
  <si>
    <t>Pg 1</t>
  </si>
  <si>
    <t>LBB 00001</t>
  </si>
  <si>
    <t>Choc-Chip Cookies: Doz</t>
  </si>
  <si>
    <t>Oatmeal Cookies: Doz</t>
  </si>
  <si>
    <t>Montessori Life Primary</t>
  </si>
  <si>
    <t>LBB 00002</t>
  </si>
  <si>
    <t>Travel &amp; Transport</t>
  </si>
  <si>
    <t>LBB 00003</t>
  </si>
  <si>
    <t>Mabuda Farm</t>
  </si>
  <si>
    <t>Mabuda Ave.</t>
  </si>
  <si>
    <t>Siteki</t>
  </si>
  <si>
    <t>LBB 00005</t>
  </si>
  <si>
    <t>Gingerbread Cookies: Doz</t>
  </si>
  <si>
    <t>LBB 00006</t>
  </si>
  <si>
    <t>Pastei da Nata</t>
  </si>
  <si>
    <t>Oatmeal Cookies: Packets (5/pack)</t>
  </si>
  <si>
    <t>LBB 00007</t>
  </si>
  <si>
    <t>Christmas Cakes</t>
  </si>
  <si>
    <t>Double Choc-Chip Cookes</t>
  </si>
  <si>
    <t>Brounies</t>
  </si>
  <si>
    <t>OatMeal-Raisin Cookies</t>
  </si>
  <si>
    <t>Melktarts</t>
  </si>
  <si>
    <t>LBB 00008</t>
  </si>
  <si>
    <t>Oatmeal Cookies</t>
  </si>
  <si>
    <t>Ginger Bread Cookies</t>
  </si>
  <si>
    <t>Paste Da Nata</t>
  </si>
  <si>
    <t>LBB 00009</t>
  </si>
  <si>
    <t>LBB 00010</t>
  </si>
  <si>
    <t>Shortbread</t>
  </si>
  <si>
    <t>Double Choc Chip</t>
  </si>
  <si>
    <t>Christmas Cake</t>
  </si>
  <si>
    <t>Thea Rudd</t>
  </si>
  <si>
    <t>Mbabane</t>
  </si>
  <si>
    <t>M100</t>
  </si>
  <si>
    <t>LBB 00011</t>
  </si>
  <si>
    <t>GingerBread</t>
  </si>
  <si>
    <t>Jam Tarts</t>
  </si>
  <si>
    <t>LBB 00012</t>
  </si>
  <si>
    <t>LBB 00013</t>
  </si>
  <si>
    <t>LBB 00014</t>
  </si>
  <si>
    <t>LBB 00015</t>
  </si>
  <si>
    <t>Ginger Breads</t>
  </si>
  <si>
    <t>LBB 00016</t>
  </si>
  <si>
    <t>Ginger breads</t>
  </si>
  <si>
    <t>LBB 00017</t>
  </si>
  <si>
    <t>LBB 00018</t>
  </si>
  <si>
    <t>Merangues</t>
  </si>
  <si>
    <t>LBB 00019</t>
  </si>
  <si>
    <t>Jame Tartlets</t>
  </si>
  <si>
    <t>Pastei Da Nata</t>
  </si>
  <si>
    <t>GingerBread Men</t>
  </si>
  <si>
    <t>LBB 00020</t>
  </si>
  <si>
    <t>LBB 00021</t>
  </si>
  <si>
    <t>LBB 00022</t>
  </si>
  <si>
    <t>Choc Chip Cookies</t>
  </si>
  <si>
    <t>LBB 00023</t>
  </si>
  <si>
    <t>LBB 00024</t>
  </si>
  <si>
    <t>LBB 00025</t>
  </si>
  <si>
    <t>Choc-chip Cookies</t>
  </si>
  <si>
    <t>LBB 00035</t>
  </si>
  <si>
    <t>LBB 00031</t>
  </si>
  <si>
    <t>LBB 00030</t>
  </si>
  <si>
    <t>LBB 00032</t>
  </si>
  <si>
    <t>LBB 00033</t>
  </si>
  <si>
    <t>LBB 00034</t>
  </si>
  <si>
    <t>oatmeal pies</t>
  </si>
  <si>
    <t>Oatmeal Cakes</t>
  </si>
  <si>
    <t>Oatmeal Cokies</t>
  </si>
  <si>
    <t>Outmeal Pies</t>
  </si>
  <si>
    <t>LBB 00036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</si>
</sst>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
    <numFmt numFmtId="165" formatCode="_(&quot;E&quot;* #,##0.00_);_(&quot;E&quot;* \(#,##0.00\);_(&quot;E&quot;* &quot;-&quot;??_);_(@_)"/>
  </numFmts>
  <fonts count="21">
    <font>
      <sz val="10"/>
      <name val="Arial"/>
    </font>
    <font>
      <sz val="10"/>
      <name val="Arial"/>
    </font>
    <font>
      <b/>
      <sz val="10"/>
      <name val="Arial"/>
      <family val="2"/>
    </font>
    <font>
      <b/>
      <sz val="10"/>
      <name val="Arial"/>
    </font>
    <font>
      <b/>
      <sz val="10"/>
      <color indexed="10"/>
      <name val="System"/>
      <family val="2"/>
    </font>
    <font>
      <b/>
      <i/>
      <sz val="14"/>
      <name val="Arial"/>
      <family val="2"/>
    </font>
    <font>
      <sz val="10"/>
      <color indexed="8"/>
      <name val="Arial"/>
      <family val="2"/>
    </font>
    <font>
      <b/>
      <sz val="18"/>
      <name val="Arial"/>
      <family val="2"/>
    </font>
    <font>
      <sz val="10"/>
      <name val="Arial"/>
      <family val="2"/>
    </font>
    <font>
      <sz val="10"/>
      <color indexed="58"/>
      <name val="Arial"/>
    </font>
    <font>
      <sz val="10"/>
      <name val="RotisSansSerif"/>
      <family val="2"/>
    </font>
    <font>
      <b/>
      <sz val="9"/>
      <name val="Arial"/>
      <family val="2"/>
    </font>
    <font>
      <sz val="6"/>
      <color indexed="23"/>
      <name val="RotisSansSerif"/>
      <family val="2"/>
    </font>
    <font>
      <b/>
      <sz val="10"/>
      <color indexed="55"/>
      <name val="System"/>
      <family val="2"/>
    </font>
    <font>
      <i/>
      <sz val="10"/>
      <name val="Arial"/>
      <family val="2"/>
    </font>
    <font>
      <b/>
      <sz val="14"/>
      <name val="Arial"/>
      <family val="2"/>
    </font>
    <font>
      <i/>
      <sz val="10"/>
      <name val="RotisSansSerif"/>
    </font>
    <font>
      <b/>
      <u/>
      <sz val="10"/>
      <name val="RotisSansSerif"/>
    </font>
    <font>
      <i/>
      <sz val="11"/>
      <name val="RotisSansSerif"/>
    </font>
    <font>
      <sz val="10"/>
      <name val="RotisSansSerif"/>
    </font>
    <font>
      <sz val="9"/>
      <name val="RotisSansSerif"/>
      <family val="2"/>
    </font>
  </fonts>
  <fills count="7">
    <fill>
      <patternFill patternType="none"/>
    </fill>
    <fill>
      <patternFill patternType="gray125"/>
    </fill>
    <fill>
      <patternFill patternType="solid">
        <fgColor indexed="9"/>
        <bgColor indexed="64"/>
      </patternFill>
    </fill>
    <fill>
      <patternFill patternType="solid">
        <fgColor indexed="58"/>
        <bgColor indexed="64"/>
      </patternFill>
    </fill>
    <fill>
      <patternFill patternType="darkGray">
        <fgColor indexed="9"/>
        <bgColor indexed="22"/>
      </patternFill>
    </fill>
    <fill>
      <patternFill patternType="solid">
        <fgColor theme="0"/>
        <bgColor indexed="64"/>
      </patternFill>
    </fill>
    <fill>
      <patternFill patternType="darkGray">
        <fgColor indexed="9"/>
        <bgColor theme="0"/>
      </patternFill>
    </fill>
  </fills>
  <borders count="30">
    <border>
      <left/>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hair">
        <color indexed="64"/>
      </right>
      <top style="medium">
        <color indexed="64"/>
      </top>
      <bottom/>
      <diagonal/>
    </border>
    <border>
      <left/>
      <right style="hair">
        <color indexed="64"/>
      </right>
      <top/>
      <bottom/>
      <diagonal/>
    </border>
    <border>
      <left/>
      <right/>
      <top/>
      <bottom style="hair">
        <color indexed="37"/>
      </bottom>
      <diagonal/>
    </border>
    <border>
      <left style="hair">
        <color indexed="64"/>
      </left>
      <right style="hair">
        <color indexed="64"/>
      </right>
      <top/>
      <bottom style="hair">
        <color indexed="64"/>
      </bottom>
      <diagonal/>
    </border>
    <border>
      <left style="medium">
        <color indexed="64"/>
      </left>
      <right style="hair">
        <color indexed="64"/>
      </right>
      <top style="medium">
        <color indexed="64"/>
      </top>
      <bottom/>
      <diagonal/>
    </border>
    <border>
      <left/>
      <right/>
      <top/>
      <bottom style="thick">
        <color indexed="55"/>
      </bottom>
      <diagonal/>
    </border>
    <border>
      <left/>
      <right style="thick">
        <color indexed="55"/>
      </right>
      <top/>
      <bottom style="thick">
        <color indexed="55"/>
      </bottom>
      <diagonal/>
    </border>
    <border>
      <left/>
      <right/>
      <top style="thick">
        <color indexed="55"/>
      </top>
      <bottom style="hair">
        <color indexed="55"/>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bottom style="hair">
        <color indexed="22"/>
      </bottom>
      <diagonal/>
    </border>
    <border>
      <left/>
      <right/>
      <top style="hair">
        <color indexed="22"/>
      </top>
      <bottom style="hair">
        <color indexed="22"/>
      </bottom>
      <diagonal/>
    </border>
    <border>
      <left/>
      <right style="hair">
        <color indexed="64"/>
      </right>
      <top/>
      <bottom style="hair">
        <color indexed="22"/>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top style="hair">
        <color indexed="55"/>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2">
    <xf numFmtId="0" fontId="0" fillId="0" borderId="0"/>
    <xf numFmtId="44" fontId="1" fillId="0" borderId="0" applyFont="0" applyFill="0" applyBorder="0" applyAlignment="0" applyProtection="0"/>
  </cellStyleXfs>
  <cellXfs count="267">
    <xf numFmtId="0" fontId="0" fillId="0" borderId="0" xfId="0"/>
    <xf numFmtId="0" fontId="0" fillId="2" borderId="0" xfId="0" applyFill="1"/>
    <xf numFmtId="0" fontId="3" fillId="2" borderId="0" xfId="0" applyFont="1" applyFill="1" applyAlignment="1">
      <alignment horizontal="right"/>
    </xf>
    <xf numFmtId="1" fontId="4" fillId="2" borderId="0" xfId="0" applyNumberFormat="1" applyFont="1" applyFill="1"/>
    <xf numFmtId="0" fontId="5" fillId="2" borderId="0" xfId="0" applyFont="1" applyFill="1"/>
    <xf numFmtId="0" fontId="1" fillId="2" borderId="0" xfId="0" applyFont="1" applyFill="1"/>
    <xf numFmtId="14" fontId="0" fillId="2" borderId="0" xfId="0" quotePrefix="1" applyNumberFormat="1" applyFill="1" applyAlignment="1">
      <alignment horizontal="left"/>
    </xf>
    <xf numFmtId="49" fontId="0" fillId="2" borderId="0" xfId="0" applyNumberFormat="1" applyFill="1"/>
    <xf numFmtId="0" fontId="1" fillId="2" borderId="0" xfId="0" applyFont="1" applyFill="1" applyAlignment="1">
      <alignment horizontal="right"/>
    </xf>
    <xf numFmtId="0" fontId="3" fillId="2" borderId="1" xfId="0" applyFont="1" applyFill="1" applyBorder="1" applyAlignment="1">
      <alignment horizontal="center"/>
    </xf>
    <xf numFmtId="0" fontId="3" fillId="2" borderId="2" xfId="0" applyFont="1" applyFill="1" applyBorder="1" applyAlignment="1">
      <alignment horizontal="center"/>
    </xf>
    <xf numFmtId="0" fontId="1" fillId="2" borderId="0" xfId="0" quotePrefix="1" applyFont="1" applyFill="1" applyAlignment="1">
      <alignment horizontal="right"/>
    </xf>
    <xf numFmtId="164" fontId="0" fillId="2" borderId="0" xfId="0" applyNumberFormat="1" applyFill="1"/>
    <xf numFmtId="9" fontId="3" fillId="2" borderId="0" xfId="0" applyNumberFormat="1" applyFont="1" applyFill="1"/>
    <xf numFmtId="0" fontId="0" fillId="2" borderId="0" xfId="0" quotePrefix="1" applyFill="1"/>
    <xf numFmtId="0" fontId="0" fillId="2" borderId="0" xfId="0" quotePrefix="1" applyFill="1" applyAlignment="1">
      <alignment horizontal="right"/>
    </xf>
    <xf numFmtId="0" fontId="0" fillId="3" borderId="0" xfId="0" applyFill="1"/>
    <xf numFmtId="0" fontId="2" fillId="2" borderId="3" xfId="0" applyFont="1"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10" fontId="8" fillId="0" borderId="2" xfId="0" quotePrefix="1" applyNumberFormat="1" applyFont="1" applyBorder="1" applyAlignment="1" applyProtection="1">
      <alignment horizontal="center"/>
      <protection locked="0"/>
    </xf>
    <xf numFmtId="10" fontId="1" fillId="0" borderId="9" xfId="0" quotePrefix="1" applyNumberFormat="1" applyFont="1" applyBorder="1" applyAlignment="1" applyProtection="1">
      <alignment horizontal="center"/>
      <protection locked="0"/>
    </xf>
    <xf numFmtId="0" fontId="0" fillId="2" borderId="10" xfId="0" applyFill="1" applyBorder="1"/>
    <xf numFmtId="0" fontId="9" fillId="3" borderId="0" xfId="0" applyFont="1" applyFill="1"/>
    <xf numFmtId="0" fontId="7" fillId="2" borderId="0" xfId="0" applyFont="1" applyFill="1"/>
    <xf numFmtId="0" fontId="0" fillId="2" borderId="11" xfId="0" applyFill="1" applyBorder="1"/>
    <xf numFmtId="0" fontId="0" fillId="2" borderId="12" xfId="0" applyFill="1" applyBorder="1"/>
    <xf numFmtId="0" fontId="0" fillId="2" borderId="11" xfId="0" applyFill="1" applyBorder="1" applyProtection="1">
      <protection locked="0"/>
    </xf>
    <xf numFmtId="49" fontId="10" fillId="2" borderId="16" xfId="0" applyNumberFormat="1" applyFont="1" applyFill="1" applyBorder="1" applyAlignment="1" applyProtection="1">
      <alignment horizontal="left" wrapText="1"/>
      <protection locked="0"/>
    </xf>
    <xf numFmtId="0" fontId="10" fillId="2" borderId="17" xfId="0" applyFont="1" applyFill="1" applyBorder="1" applyAlignment="1">
      <alignment horizontal="right"/>
    </xf>
    <xf numFmtId="49" fontId="10" fillId="2" borderId="16" xfId="0" applyNumberFormat="1" applyFont="1" applyFill="1" applyBorder="1" applyAlignment="1" applyProtection="1">
      <alignment horizontal="left"/>
      <protection locked="0"/>
    </xf>
    <xf numFmtId="49" fontId="10" fillId="2" borderId="18" xfId="0" applyNumberFormat="1" applyFont="1" applyFill="1" applyBorder="1" applyAlignment="1" applyProtection="1">
      <alignment horizontal="left"/>
      <protection locked="0"/>
    </xf>
    <xf numFmtId="0" fontId="10" fillId="2" borderId="18" xfId="0" applyFont="1" applyFill="1" applyBorder="1" applyAlignment="1" applyProtection="1">
      <alignment horizontal="left"/>
      <protection locked="0"/>
    </xf>
    <xf numFmtId="0" fontId="10" fillId="2" borderId="19" xfId="0" applyFont="1" applyFill="1" applyBorder="1" applyAlignment="1" applyProtection="1">
      <alignment horizontal="center"/>
      <protection locked="0"/>
    </xf>
    <xf numFmtId="0" fontId="10" fillId="2" borderId="20" xfId="0" applyFont="1" applyFill="1" applyBorder="1" applyAlignment="1" applyProtection="1">
      <alignment horizontal="center"/>
      <protection locked="0"/>
    </xf>
    <xf numFmtId="0" fontId="10" fillId="2" borderId="9" xfId="0" applyFont="1" applyFill="1" applyBorder="1" applyAlignment="1" applyProtection="1">
      <alignment horizontal="center"/>
      <protection locked="0"/>
    </xf>
    <xf numFmtId="0" fontId="8" fillId="2" borderId="0" xfId="0" applyFont="1" applyFill="1" applyAlignment="1">
      <alignment horizontal="right"/>
    </xf>
    <xf numFmtId="0" fontId="13" fillId="2" borderId="0" xfId="0" applyFont="1" applyFill="1" applyAlignment="1" applyProtection="1">
      <alignment horizontal="right"/>
      <protection locked="0"/>
    </xf>
    <xf numFmtId="165" fontId="10" fillId="2" borderId="20" xfId="1" applyNumberFormat="1" applyFont="1" applyFill="1" applyBorder="1" applyAlignment="1" applyProtection="1">
      <protection locked="0"/>
    </xf>
    <xf numFmtId="165" fontId="10" fillId="4" borderId="20" xfId="1" applyNumberFormat="1" applyFont="1" applyFill="1" applyBorder="1"/>
    <xf numFmtId="165" fontId="10" fillId="2" borderId="19" xfId="1" applyNumberFormat="1" applyFont="1" applyFill="1" applyBorder="1" applyAlignment="1" applyProtection="1">
      <protection locked="0"/>
    </xf>
    <xf numFmtId="165" fontId="10" fillId="2" borderId="9" xfId="1" applyNumberFormat="1" applyFont="1" applyFill="1" applyBorder="1" applyAlignment="1" applyProtection="1">
      <protection locked="0"/>
    </xf>
    <xf numFmtId="165" fontId="10" fillId="4" borderId="19" xfId="1" applyNumberFormat="1" applyFont="1" applyFill="1" applyBorder="1"/>
    <xf numFmtId="165" fontId="10" fillId="4" borderId="9" xfId="1" applyNumberFormat="1" applyFont="1" applyFill="1" applyBorder="1"/>
    <xf numFmtId="165" fontId="6" fillId="0" borderId="2" xfId="1" applyNumberFormat="1" applyFont="1" applyFill="1" applyBorder="1" applyProtection="1">
      <protection locked="0"/>
    </xf>
    <xf numFmtId="165" fontId="0" fillId="2" borderId="2" xfId="0" applyNumberFormat="1" applyFill="1" applyBorder="1"/>
    <xf numFmtId="165" fontId="6" fillId="4" borderId="2" xfId="1" applyNumberFormat="1" applyFont="1" applyFill="1" applyBorder="1" applyProtection="1"/>
    <xf numFmtId="14" fontId="10" fillId="2" borderId="18" xfId="0" applyNumberFormat="1" applyFont="1" applyFill="1" applyBorder="1" applyAlignment="1" applyProtection="1">
      <alignment horizontal="left"/>
      <protection locked="0"/>
    </xf>
    <xf numFmtId="0" fontId="10" fillId="2" borderId="0" xfId="0" applyFont="1" applyFill="1" applyAlignment="1" applyProtection="1">
      <alignment vertical="center" wrapText="1"/>
      <protection locked="0"/>
    </xf>
    <xf numFmtId="0" fontId="0" fillId="5" borderId="0" xfId="0" applyFill="1"/>
    <xf numFmtId="0" fontId="15" fillId="5" borderId="0" xfId="0" applyFont="1" applyFill="1"/>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49" fontId="10" fillId="2" borderId="0" xfId="0" applyNumberFormat="1" applyFont="1" applyFill="1" applyBorder="1" applyAlignment="1" applyProtection="1">
      <alignment horizontal="left"/>
      <protection locked="0"/>
    </xf>
    <xf numFmtId="49" fontId="20" fillId="2" borderId="24" xfId="0" applyNumberFormat="1" applyFont="1" applyFill="1" applyBorder="1" applyAlignment="1" applyProtection="1">
      <alignment horizontal="left"/>
      <protection locked="0"/>
    </xf>
    <xf numFmtId="165" fontId="8" fillId="6" borderId="2" xfId="1" applyNumberFormat="1" applyFont="1" applyFill="1" applyBorder="1"/>
    <xf numFmtId="165" fontId="8" fillId="6" borderId="14" xfId="1" applyNumberFormat="1" applyFont="1" applyFill="1" applyBorder="1"/>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49" fontId="10" fillId="2" borderId="0" xfId="0" applyNumberFormat="1" applyFont="1" applyFill="1" applyBorder="1" applyAlignment="1" applyProtection="1">
      <alignment horizontal="left"/>
      <protection locked="0"/>
    </xf>
    <xf numFmtId="0" fontId="3" fillId="2" borderId="1" xfId="0" applyFont="1" applyFill="1" applyBorder="1" applyAlignment="1">
      <alignment horizontal="center"/>
    </xf>
    <xf numFmtId="49" fontId="10" fillId="2" borderId="16" xfId="0" applyNumberFormat="1" applyFont="1" applyFill="1" applyBorder="1" applyProtection="1">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0" fontId="3" fillId="2" borderId="1" xfId="0" applyFont="1" applyFill="1" applyBorder="1" applyAlignment="1">
      <alignment horizontal="center"/>
    </xf>
    <xf numFmtId="49" fontId="10" fillId="2" borderId="0" xfId="0" applyNumberFormat="1" applyFont="1" applyFill="1" applyBorder="1" applyAlignment="1" applyProtection="1">
      <alignment horizontal="left"/>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49" fontId="10" fillId="2" borderId="0" xfId="0" applyNumberFormat="1" applyFont="1" applyFill="1" applyBorder="1" applyAlignment="1" applyProtection="1">
      <alignment horizontal="left"/>
      <protection locked="0"/>
    </xf>
    <xf numFmtId="49" fontId="10" fillId="2" borderId="16" xfId="0" applyNumberFormat="1" applyFont="1" applyFill="1" applyBorder="1" applyProtection="1">
      <protection locked="0"/>
    </xf>
    <xf numFmtId="0" fontId="3" fillId="2" borderId="1" xfId="0" applyFont="1" applyFill="1" applyBorder="1" applyAlignment="1">
      <alignment horizontal="center"/>
    </xf>
    <xf numFmtId="49" fontId="10" fillId="2" borderId="16" xfId="0" applyNumberFormat="1" applyFont="1" applyFill="1" applyBorder="1" applyProtection="1">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0" fontId="3" fillId="2" borderId="1" xfId="0" applyFont="1" applyFill="1" applyBorder="1" applyAlignment="1">
      <alignment horizontal="center"/>
    </xf>
    <xf numFmtId="49" fontId="10" fillId="2" borderId="0" xfId="0" applyNumberFormat="1" applyFont="1" applyFill="1" applyBorder="1" applyAlignment="1" applyProtection="1">
      <alignment horizontal="left"/>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49" fontId="10" fillId="2" borderId="0" xfId="0" applyNumberFormat="1" applyFont="1" applyFill="1" applyBorder="1" applyAlignment="1" applyProtection="1">
      <alignment horizontal="left"/>
      <protection locked="0"/>
    </xf>
    <xf numFmtId="49" fontId="10" fillId="2" borderId="16" xfId="0" applyNumberFormat="1" applyFont="1" applyFill="1" applyBorder="1" applyProtection="1">
      <protection locked="0"/>
    </xf>
    <xf numFmtId="0" fontId="3" fillId="2" borderId="1" xfId="0" applyFont="1" applyFill="1" applyBorder="1" applyAlignment="1">
      <alignment horizontal="center"/>
    </xf>
    <xf numFmtId="49" fontId="10" fillId="2" borderId="16" xfId="0" applyNumberFormat="1" applyFont="1" applyFill="1" applyBorder="1" applyProtection="1">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0" fontId="3" fillId="2" borderId="1" xfId="0" applyFont="1" applyFill="1" applyBorder="1" applyAlignment="1">
      <alignment horizontal="center"/>
    </xf>
    <xf numFmtId="49" fontId="10" fillId="2" borderId="0" xfId="0" applyNumberFormat="1" applyFont="1" applyFill="1" applyBorder="1" applyAlignment="1" applyProtection="1">
      <alignment horizontal="left"/>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49" fontId="10" fillId="2" borderId="0" xfId="0" applyNumberFormat="1" applyFont="1" applyFill="1" applyBorder="1" applyAlignment="1" applyProtection="1">
      <alignment horizontal="left"/>
      <protection locked="0"/>
    </xf>
    <xf numFmtId="49" fontId="10" fillId="2" borderId="16" xfId="0" applyNumberFormat="1" applyFont="1" applyFill="1" applyBorder="1" applyProtection="1">
      <protection locked="0"/>
    </xf>
    <xf numFmtId="0" fontId="3" fillId="2" borderId="1" xfId="0" applyFont="1" applyFill="1" applyBorder="1" applyAlignment="1">
      <alignment horizontal="center"/>
    </xf>
    <xf numFmtId="49" fontId="10" fillId="2" borderId="16" xfId="0" applyNumberFormat="1" applyFont="1" applyFill="1" applyBorder="1" applyProtection="1">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0" fontId="3" fillId="2" borderId="1" xfId="0" applyFont="1" applyFill="1" applyBorder="1" applyAlignment="1">
      <alignment horizontal="center"/>
    </xf>
    <xf numFmtId="49" fontId="10" fillId="2" borderId="0" xfId="0" applyNumberFormat="1" applyFont="1" applyFill="1" applyBorder="1" applyAlignment="1" applyProtection="1">
      <alignment horizontal="left"/>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49" fontId="10" fillId="2" borderId="0" xfId="0" applyNumberFormat="1" applyFont="1" applyFill="1" applyBorder="1" applyAlignment="1" applyProtection="1">
      <alignment horizontal="left"/>
      <protection locked="0"/>
    </xf>
    <xf numFmtId="49" fontId="10" fillId="2" borderId="16" xfId="0" applyNumberFormat="1" applyFont="1" applyFill="1" applyBorder="1" applyProtection="1">
      <protection locked="0"/>
    </xf>
    <xf numFmtId="0" fontId="3" fillId="2" borderId="1" xfId="0" applyFont="1" applyFill="1" applyBorder="1" applyAlignment="1">
      <alignment horizontal="center"/>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49" fontId="10" fillId="2" borderId="0" xfId="0" applyNumberFormat="1" applyFont="1" applyFill="1" applyBorder="1" applyAlignment="1" applyProtection="1">
      <alignment horizontal="left"/>
      <protection locked="0"/>
    </xf>
    <xf numFmtId="49" fontId="10" fillId="2" borderId="16" xfId="0" applyNumberFormat="1" applyFont="1" applyFill="1" applyBorder="1" applyProtection="1">
      <protection locked="0"/>
    </xf>
    <xf numFmtId="0" fontId="3" fillId="2" borderId="1" xfId="0" applyFont="1" applyFill="1" applyBorder="1" applyAlignment="1">
      <alignment horizontal="center"/>
    </xf>
    <xf numFmtId="49" fontId="10" fillId="2" borderId="16" xfId="0" applyNumberFormat="1" applyFont="1" applyFill="1" applyBorder="1" applyProtection="1">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0" fontId="3" fillId="2" borderId="1" xfId="0" applyFont="1" applyFill="1" applyBorder="1" applyAlignment="1">
      <alignment horizontal="center"/>
    </xf>
    <xf numFmtId="49" fontId="10" fillId="2" borderId="0" xfId="0" applyNumberFormat="1" applyFont="1" applyFill="1" applyBorder="1" applyAlignment="1" applyProtection="1">
      <alignment horizontal="left"/>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49" fontId="10" fillId="2" borderId="0" xfId="0" applyNumberFormat="1" applyFont="1" applyFill="1" applyBorder="1" applyAlignment="1" applyProtection="1">
      <alignment horizontal="left"/>
      <protection locked="0"/>
    </xf>
    <xf numFmtId="49" fontId="10" fillId="2" borderId="16" xfId="0" applyNumberFormat="1" applyFont="1" applyFill="1" applyBorder="1" applyProtection="1">
      <protection locked="0"/>
    </xf>
    <xf numFmtId="0" fontId="3" fillId="2" borderId="1" xfId="0" applyFont="1" applyFill="1" applyBorder="1" applyAlignment="1">
      <alignment horizontal="center"/>
    </xf>
    <xf numFmtId="49" fontId="10" fillId="2" borderId="16" xfId="0" applyNumberFormat="1" applyFont="1" applyFill="1" applyBorder="1" applyProtection="1">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0" fontId="3" fillId="2" borderId="1" xfId="0" applyFont="1" applyFill="1" applyBorder="1" applyAlignment="1">
      <alignment horizontal="center"/>
    </xf>
    <xf numFmtId="49" fontId="10" fillId="2" borderId="0" xfId="0" applyNumberFormat="1" applyFont="1" applyFill="1" applyBorder="1" applyAlignment="1" applyProtection="1">
      <alignment horizontal="left"/>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49" fontId="10" fillId="2" borderId="0" xfId="0" applyNumberFormat="1" applyFont="1" applyFill="1" applyBorder="1" applyAlignment="1" applyProtection="1">
      <alignment horizontal="left"/>
      <protection locked="0"/>
    </xf>
    <xf numFmtId="49" fontId="10" fillId="2" borderId="16" xfId="0" applyNumberFormat="1" applyFont="1" applyFill="1" applyBorder="1" applyProtection="1">
      <protection locked="0"/>
    </xf>
    <xf numFmtId="0" fontId="3" fillId="2" borderId="1" xfId="0" applyFont="1" applyFill="1" applyBorder="1" applyAlignment="1">
      <alignment horizontal="center"/>
    </xf>
    <xf numFmtId="49" fontId="10" fillId="2" borderId="16" xfId="0" applyNumberFormat="1" applyFont="1" applyFill="1" applyBorder="1" applyProtection="1">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0" fontId="3" fillId="2" borderId="1" xfId="0" applyFont="1" applyFill="1" applyBorder="1" applyAlignment="1">
      <alignment horizontal="center"/>
    </xf>
    <xf numFmtId="49" fontId="10" fillId="2" borderId="0" xfId="0" applyNumberFormat="1" applyFont="1" applyFill="1" applyBorder="1" applyAlignment="1" applyProtection="1">
      <alignment horizontal="left"/>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49" fontId="10" fillId="2" borderId="0" xfId="0" applyNumberFormat="1" applyFont="1" applyFill="1" applyBorder="1" applyAlignment="1" applyProtection="1">
      <alignment horizontal="left"/>
      <protection locked="0"/>
    </xf>
    <xf numFmtId="49" fontId="10" fillId="2" borderId="16" xfId="0" applyNumberFormat="1" applyFont="1" applyFill="1" applyBorder="1" applyProtection="1">
      <protection locked="0"/>
    </xf>
    <xf numFmtId="0" fontId="3" fillId="2" borderId="1" xfId="0" applyFont="1" applyFill="1" applyBorder="1" applyAlignment="1">
      <alignment horizontal="center"/>
    </xf>
    <xf numFmtId="49" fontId="10" fillId="2" borderId="16" xfId="0" applyNumberFormat="1" applyFont="1" applyFill="1" applyBorder="1" applyProtection="1">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0" fontId="3" fillId="2" borderId="1" xfId="0" applyFont="1" applyFill="1" applyBorder="1" applyAlignment="1">
      <alignment horizontal="center"/>
    </xf>
    <xf numFmtId="49" fontId="10" fillId="2" borderId="0" xfId="0" applyNumberFormat="1" applyFont="1" applyFill="1" applyBorder="1" applyAlignment="1" applyProtection="1">
      <alignment horizontal="left"/>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49" fontId="10" fillId="2" borderId="0" xfId="0" applyNumberFormat="1" applyFont="1" applyFill="1" applyBorder="1" applyAlignment="1" applyProtection="1">
      <alignment horizontal="left"/>
      <protection locked="0"/>
    </xf>
    <xf numFmtId="49" fontId="10" fillId="2" borderId="16" xfId="0" applyNumberFormat="1" applyFont="1" applyFill="1" applyBorder="1" applyProtection="1">
      <protection locked="0"/>
    </xf>
    <xf numFmtId="0" fontId="3" fillId="2" borderId="1" xfId="0" applyFont="1" applyFill="1" applyBorder="1" applyAlignment="1">
      <alignment horizontal="center"/>
    </xf>
    <xf numFmtId="49" fontId="10" fillId="2" borderId="16" xfId="0" applyNumberFormat="1" applyFont="1" applyFill="1" applyBorder="1" applyProtection="1">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0" fontId="3" fillId="2" borderId="1" xfId="0" applyFont="1" applyFill="1" applyBorder="1" applyAlignment="1">
      <alignment horizontal="center"/>
    </xf>
    <xf numFmtId="49" fontId="10" fillId="2" borderId="0" xfId="0" applyNumberFormat="1" applyFont="1" applyFill="1" applyBorder="1" applyAlignment="1" applyProtection="1">
      <alignment horizontal="left"/>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49" fontId="10" fillId="2" borderId="0" xfId="0" applyNumberFormat="1" applyFont="1" applyFill="1" applyBorder="1" applyAlignment="1" applyProtection="1">
      <alignment horizontal="left"/>
      <protection locked="0"/>
    </xf>
    <xf numFmtId="49" fontId="10" fillId="2" borderId="16" xfId="0" applyNumberFormat="1" applyFont="1" applyFill="1" applyBorder="1" applyProtection="1">
      <protection locked="0"/>
    </xf>
    <xf numFmtId="0" fontId="3" fillId="2" borderId="1" xfId="0" applyFont="1" applyFill="1" applyBorder="1" applyAlignment="1">
      <alignment horizontal="center"/>
    </xf>
    <xf numFmtId="49" fontId="10" fillId="2" borderId="16" xfId="0" applyNumberFormat="1" applyFont="1" applyFill="1" applyBorder="1" applyProtection="1">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0" fontId="3" fillId="2" borderId="1" xfId="0" applyFont="1" applyFill="1" applyBorder="1" applyAlignment="1">
      <alignment horizontal="center"/>
    </xf>
    <xf numFmtId="49" fontId="10" fillId="2" borderId="0" xfId="0" applyNumberFormat="1" applyFont="1" applyFill="1" applyBorder="1" applyAlignment="1" applyProtection="1">
      <alignment horizontal="left"/>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49" fontId="10" fillId="2" borderId="0" xfId="0" applyNumberFormat="1" applyFont="1" applyFill="1" applyBorder="1" applyAlignment="1" applyProtection="1">
      <alignment horizontal="left"/>
      <protection locked="0"/>
    </xf>
    <xf numFmtId="49" fontId="10" fillId="2" borderId="16" xfId="0" applyNumberFormat="1" applyFont="1" applyFill="1" applyBorder="1" applyProtection="1">
      <protection locked="0"/>
    </xf>
    <xf numFmtId="0" fontId="3" fillId="2" borderId="1" xfId="0" applyFont="1" applyFill="1" applyBorder="1" applyAlignment="1">
      <alignment horizontal="center"/>
    </xf>
    <xf numFmtId="49" fontId="10" fillId="2" borderId="16" xfId="0" applyNumberFormat="1" applyFont="1" applyFill="1" applyBorder="1" applyProtection="1">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0" fontId="3" fillId="2" borderId="1" xfId="0" applyFont="1" applyFill="1" applyBorder="1" applyAlignment="1">
      <alignment horizontal="center"/>
    </xf>
    <xf numFmtId="49" fontId="10" fillId="2" borderId="0" xfId="0" applyNumberFormat="1" applyFont="1" applyFill="1" applyBorder="1" applyAlignment="1" applyProtection="1">
      <alignment horizontal="left"/>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49" fontId="10" fillId="2" borderId="0" xfId="0" applyNumberFormat="1" applyFont="1" applyFill="1" applyBorder="1" applyAlignment="1" applyProtection="1">
      <alignment horizontal="left"/>
      <protection locked="0"/>
    </xf>
    <xf numFmtId="49" fontId="10" fillId="2" borderId="16" xfId="0" applyNumberFormat="1" applyFont="1" applyFill="1" applyBorder="1" applyProtection="1">
      <protection locked="0"/>
    </xf>
    <xf numFmtId="0" fontId="3" fillId="2" borderId="1" xfId="0" applyFont="1" applyFill="1" applyBorder="1" applyAlignment="1">
      <alignment horizontal="center"/>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49" fontId="10" fillId="2" borderId="0" xfId="0" applyNumberFormat="1" applyFont="1" applyFill="1" applyBorder="1" applyAlignment="1" applyProtection="1">
      <alignment horizontal="left"/>
      <protection locked="0"/>
    </xf>
    <xf numFmtId="49" fontId="10" fillId="2" borderId="16" xfId="0" applyNumberFormat="1" applyFont="1" applyFill="1" applyBorder="1" applyProtection="1">
      <protection locked="0"/>
    </xf>
    <xf numFmtId="0" fontId="3" fillId="2" borderId="1" xfId="0" applyFont="1" applyFill="1" applyBorder="1" applyAlignment="1">
      <alignment horizontal="center"/>
    </xf>
    <xf numFmtId="49" fontId="10" fillId="2" borderId="16" xfId="0" applyNumberFormat="1" applyFont="1" applyFill="1" applyBorder="1" applyProtection="1">
      <protection locked="0"/>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0" fontId="3" fillId="2" borderId="1" xfId="0" applyFont="1" applyFill="1" applyBorder="1" applyAlignment="1">
      <alignment horizontal="center"/>
    </xf>
    <xf numFmtId="49" fontId="10" fillId="2" borderId="0" xfId="0" applyNumberFormat="1" applyFont="1" applyFill="1" applyBorder="1" applyAlignment="1" applyProtection="1">
      <alignment horizontal="left"/>
      <protection locked="0"/>
    </xf>
    <xf numFmtId="165" fontId="10" fillId="2" borderId="20" xfId="1" applyNumberFormat="1" applyFont="1" applyFill="1" applyBorder="1" applyAlignment="1" applyProtection="1">
      <protection locked="0"/>
    </xf>
    <xf numFmtId="0" fontId="10" fillId="2" borderId="20" xfId="0" applyFont="1" applyFill="1" applyBorder="1" applyAlignment="1" applyProtection="1">
      <alignment horizontal="center"/>
      <protection locked="0"/>
    </xf>
    <xf numFmtId="165" fontId="10" fillId="4" borderId="20" xfId="1" applyNumberFormat="1" applyFont="1" applyFill="1" applyBorder="1"/>
    <xf numFmtId="0" fontId="14" fillId="2" borderId="21" xfId="0" applyFont="1" applyFill="1" applyBorder="1" applyAlignment="1" applyProtection="1">
      <alignment horizontal="center" vertical="center" wrapText="1"/>
      <protection locked="0"/>
    </xf>
    <xf numFmtId="0" fontId="14" fillId="2" borderId="0" xfId="0" applyFont="1" applyFill="1" applyAlignment="1" applyProtection="1">
      <alignment horizontal="center" vertical="center" wrapText="1"/>
      <protection locked="0"/>
    </xf>
    <xf numFmtId="0" fontId="1" fillId="4" borderId="15" xfId="0" applyFont="1" applyFill="1" applyBorder="1" applyAlignment="1" applyProtection="1">
      <alignment vertical="top" wrapText="1"/>
      <protection locked="0"/>
    </xf>
    <xf numFmtId="0" fontId="1" fillId="4" borderId="22" xfId="0" applyFont="1" applyFill="1" applyBorder="1" applyAlignment="1" applyProtection="1">
      <alignment vertical="top" wrapText="1"/>
      <protection locked="0"/>
    </xf>
    <xf numFmtId="0" fontId="1" fillId="4" borderId="23" xfId="0" applyFont="1" applyFill="1" applyBorder="1" applyAlignment="1" applyProtection="1">
      <alignment vertical="top" wrapText="1"/>
      <protection locked="0"/>
    </xf>
    <xf numFmtId="0" fontId="1" fillId="4" borderId="24" xfId="0" applyFont="1" applyFill="1" applyBorder="1" applyAlignment="1" applyProtection="1">
      <alignment vertical="top" wrapText="1"/>
      <protection locked="0"/>
    </xf>
    <xf numFmtId="0" fontId="1" fillId="4" borderId="0" xfId="0" applyFont="1" applyFill="1" applyAlignment="1" applyProtection="1">
      <alignment vertical="top" wrapText="1"/>
      <protection locked="0"/>
    </xf>
    <xf numFmtId="0" fontId="1" fillId="4" borderId="7" xfId="0" applyFont="1" applyFill="1" applyBorder="1" applyAlignment="1" applyProtection="1">
      <alignment vertical="top" wrapText="1"/>
      <protection locked="0"/>
    </xf>
    <xf numFmtId="0" fontId="1" fillId="4" borderId="25" xfId="0" applyFont="1" applyFill="1" applyBorder="1" applyAlignment="1" applyProtection="1">
      <alignment vertical="top" wrapText="1"/>
      <protection locked="0"/>
    </xf>
    <xf numFmtId="0" fontId="1" fillId="4" borderId="26" xfId="0" applyFont="1" applyFill="1" applyBorder="1" applyAlignment="1" applyProtection="1">
      <alignment vertical="top" wrapText="1"/>
      <protection locked="0"/>
    </xf>
    <xf numFmtId="0" fontId="1" fillId="4" borderId="27" xfId="0" applyFont="1" applyFill="1" applyBorder="1" applyAlignment="1" applyProtection="1">
      <alignment vertical="top" wrapText="1"/>
      <protection locked="0"/>
    </xf>
    <xf numFmtId="0" fontId="18" fillId="2" borderId="15" xfId="0" applyFont="1" applyFill="1" applyBorder="1" applyAlignment="1" applyProtection="1">
      <alignment horizontal="center" vertical="justify" wrapText="1"/>
      <protection locked="0"/>
    </xf>
    <xf numFmtId="0" fontId="18" fillId="2" borderId="22" xfId="0" applyFont="1" applyFill="1" applyBorder="1" applyAlignment="1" applyProtection="1">
      <alignment horizontal="center" vertical="justify" wrapText="1"/>
      <protection locked="0"/>
    </xf>
    <xf numFmtId="0" fontId="18" fillId="2" borderId="23" xfId="0" applyFont="1" applyFill="1" applyBorder="1" applyAlignment="1" applyProtection="1">
      <alignment horizontal="center" vertical="justify" wrapText="1"/>
      <protection locked="0"/>
    </xf>
    <xf numFmtId="0" fontId="18" fillId="2" borderId="24" xfId="0" applyFont="1" applyFill="1" applyBorder="1" applyAlignment="1" applyProtection="1">
      <alignment horizontal="center" vertical="justify" wrapText="1"/>
      <protection locked="0"/>
    </xf>
    <xf numFmtId="0" fontId="18" fillId="2" borderId="0" xfId="0" applyFont="1" applyFill="1" applyAlignment="1" applyProtection="1">
      <alignment horizontal="center" vertical="justify" wrapText="1"/>
      <protection locked="0"/>
    </xf>
    <xf numFmtId="0" fontId="18" fillId="2" borderId="7" xfId="0" applyFont="1" applyFill="1" applyBorder="1" applyAlignment="1" applyProtection="1">
      <alignment horizontal="center" vertical="justify" wrapText="1"/>
      <protection locked="0"/>
    </xf>
    <xf numFmtId="0" fontId="18" fillId="2" borderId="25" xfId="0" applyFont="1" applyFill="1" applyBorder="1" applyAlignment="1" applyProtection="1">
      <alignment horizontal="center" vertical="justify" wrapText="1"/>
      <protection locked="0"/>
    </xf>
    <xf numFmtId="0" fontId="18" fillId="2" borderId="26" xfId="0" applyFont="1" applyFill="1" applyBorder="1" applyAlignment="1" applyProtection="1">
      <alignment horizontal="center" vertical="justify" wrapText="1"/>
      <protection locked="0"/>
    </xf>
    <xf numFmtId="0" fontId="18" fillId="2" borderId="27" xfId="0" applyFont="1" applyFill="1" applyBorder="1" applyAlignment="1" applyProtection="1">
      <alignment horizontal="center" vertical="justify" wrapText="1"/>
      <protection locked="0"/>
    </xf>
    <xf numFmtId="0" fontId="11" fillId="2" borderId="0" xfId="0" applyFont="1" applyFill="1" applyAlignment="1" applyProtection="1">
      <alignment horizontal="left" wrapText="1"/>
      <protection locked="0"/>
    </xf>
    <xf numFmtId="0" fontId="12" fillId="2" borderId="13" xfId="0" applyFont="1" applyFill="1" applyBorder="1" applyAlignment="1">
      <alignment horizontal="center"/>
    </xf>
    <xf numFmtId="49" fontId="10" fillId="2" borderId="24" xfId="0" applyNumberFormat="1" applyFont="1" applyFill="1" applyBorder="1" applyAlignment="1" applyProtection="1">
      <alignment horizontal="left"/>
      <protection locked="0"/>
    </xf>
    <xf numFmtId="49" fontId="10" fillId="2" borderId="0" xfId="0" applyNumberFormat="1" applyFont="1" applyFill="1" applyAlignment="1" applyProtection="1">
      <alignment horizontal="left"/>
      <protection locked="0"/>
    </xf>
    <xf numFmtId="49" fontId="10" fillId="2" borderId="7" xfId="0" applyNumberFormat="1" applyFont="1" applyFill="1" applyBorder="1" applyAlignment="1" applyProtection="1">
      <alignment horizontal="left"/>
      <protection locked="0"/>
    </xf>
    <xf numFmtId="49" fontId="19" fillId="2" borderId="25" xfId="0" applyNumberFormat="1" applyFont="1" applyFill="1" applyBorder="1" applyAlignment="1" applyProtection="1">
      <alignment horizontal="left"/>
      <protection locked="0"/>
    </xf>
    <xf numFmtId="49" fontId="16" fillId="2" borderId="26" xfId="0" applyNumberFormat="1" applyFont="1" applyFill="1" applyBorder="1" applyAlignment="1" applyProtection="1">
      <alignment horizontal="left"/>
      <protection locked="0"/>
    </xf>
    <xf numFmtId="49" fontId="16" fillId="2" borderId="27" xfId="0" applyNumberFormat="1" applyFont="1" applyFill="1" applyBorder="1" applyAlignment="1" applyProtection="1">
      <alignment horizontal="left"/>
      <protection locked="0"/>
    </xf>
    <xf numFmtId="49" fontId="10" fillId="2" borderId="0" xfId="0" applyNumberFormat="1" applyFont="1" applyFill="1" applyBorder="1" applyAlignment="1" applyProtection="1">
      <alignment horizontal="left"/>
      <protection locked="0"/>
    </xf>
    <xf numFmtId="0" fontId="10" fillId="2" borderId="0" xfId="0" applyFont="1" applyFill="1" applyAlignment="1" applyProtection="1">
      <alignment horizontal="center" vertical="center" wrapText="1"/>
      <protection locked="0"/>
    </xf>
    <xf numFmtId="49" fontId="10" fillId="2" borderId="16" xfId="0" applyNumberFormat="1" applyFont="1" applyFill="1" applyBorder="1" applyProtection="1">
      <protection locked="0"/>
    </xf>
    <xf numFmtId="49" fontId="10" fillId="2" borderId="17" xfId="0" applyNumberFormat="1" applyFont="1" applyFill="1" applyBorder="1" applyProtection="1">
      <protection locked="0"/>
    </xf>
    <xf numFmtId="0" fontId="3" fillId="2" borderId="1" xfId="0" applyFont="1" applyFill="1" applyBorder="1" applyAlignment="1">
      <alignment horizontal="center"/>
    </xf>
    <xf numFmtId="0" fontId="3" fillId="2" borderId="28" xfId="0" applyFont="1" applyFill="1" applyBorder="1" applyAlignment="1">
      <alignment horizontal="center"/>
    </xf>
    <xf numFmtId="0" fontId="3" fillId="2" borderId="29" xfId="0" applyFont="1" applyFill="1" applyBorder="1" applyAlignment="1">
      <alignment horizontal="center"/>
    </xf>
    <xf numFmtId="49" fontId="10" fillId="2" borderId="15" xfId="0" applyNumberFormat="1" applyFont="1" applyFill="1" applyBorder="1" applyAlignment="1" applyProtection="1">
      <alignment horizontal="left"/>
      <protection locked="0"/>
    </xf>
    <xf numFmtId="49" fontId="10" fillId="2" borderId="22" xfId="0" applyNumberFormat="1" applyFont="1" applyFill="1" applyBorder="1" applyAlignment="1" applyProtection="1">
      <alignment horizontal="left"/>
      <protection locked="0"/>
    </xf>
    <xf numFmtId="49" fontId="10" fillId="2" borderId="23" xfId="0" applyNumberFormat="1" applyFont="1" applyFill="1" applyBorder="1" applyAlignment="1" applyProtection="1">
      <alignment horizontal="left"/>
      <protection locked="0"/>
    </xf>
    <xf numFmtId="49" fontId="17" fillId="2" borderId="24" xfId="0" applyNumberFormat="1" applyFont="1" applyFill="1" applyBorder="1" applyAlignment="1" applyProtection="1">
      <alignment horizontal="left"/>
      <protection locked="0"/>
    </xf>
    <xf numFmtId="49" fontId="17" fillId="2" borderId="0" xfId="0" applyNumberFormat="1" applyFont="1" applyFill="1" applyAlignment="1" applyProtection="1">
      <alignment horizontal="left"/>
      <protection locked="0"/>
    </xf>
    <xf numFmtId="49" fontId="17" fillId="2" borderId="7" xfId="0" applyNumberFormat="1" applyFont="1" applyFill="1" applyBorder="1" applyAlignment="1" applyProtection="1">
      <alignment horizontal="left"/>
      <protection locked="0"/>
    </xf>
    <xf numFmtId="49" fontId="19" fillId="2" borderId="24" xfId="0" applyNumberFormat="1" applyFont="1" applyFill="1" applyBorder="1" applyAlignment="1" applyProtection="1">
      <alignment horizontal="left"/>
      <protection locked="0"/>
    </xf>
    <xf numFmtId="49" fontId="19" fillId="2" borderId="0" xfId="0" applyNumberFormat="1" applyFont="1" applyFill="1" applyAlignment="1" applyProtection="1">
      <alignment horizontal="left"/>
      <protection locked="0"/>
    </xf>
    <xf numFmtId="49" fontId="19" fillId="2" borderId="7" xfId="0" applyNumberFormat="1" applyFont="1" applyFill="1" applyBorder="1" applyAlignment="1" applyProtection="1">
      <alignment horizontal="left"/>
      <protection locked="0"/>
    </xf>
    <xf numFmtId="49" fontId="19" fillId="2" borderId="0" xfId="0" applyNumberFormat="1" applyFont="1" applyFill="1" applyBorder="1" applyAlignment="1" applyProtection="1">
      <alignment horizontal="left"/>
      <protection locked="0"/>
    </xf>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3" name="Picture 2">
          <a:extLst>
            <a:ext uri="{FF2B5EF4-FFF2-40B4-BE49-F238E27FC236}">
              <a16:creationId xmlns:a16="http://schemas.microsoft.com/office/drawing/2014/main" id="{3D730553-9C80-46C2-363B-7754E80593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832C6179-DC3F-4881-A7CB-FD3AD02853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7CCB4478-CD69-4F83-843D-685EA601F4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8593A88B-9880-4C0E-A397-9C234EA5A9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D40B8DE4-B6AF-4BD9-AA77-6386CAF479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BAD773BE-AB91-484A-9481-52D00BA41A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6A15430F-73CC-425A-89E5-E1F44193A7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B6599D2F-2C47-41B5-A605-6D2E2FACE4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CCC23C16-2EF6-4CC0-87E5-F26A22AC70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88A8E917-59E1-4F96-8637-6C82A17A78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1FFC06E4-C0B5-484A-A1DE-EC7267A951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22BAB138-9F6B-4BBD-B23F-7DB150B82F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38675482-CC81-4EF6-8EF4-738DB7FAD6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199B396C-8215-44D6-95FB-B065E29090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C3493BF0-19D5-46C4-8999-DB3E19C424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775FECF9-031A-4F44-AA15-0841732955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DE21E51F-3B4D-4443-9567-E34D8A9A75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F47C4838-58ED-4F33-B327-3E168CBC50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50B31EB1-4405-4479-B53A-EA14B4073F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49B21C07-1CD8-45C8-B7BB-09B3F9C412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65590FF8-2D0A-4EE6-8E71-B4B52AA9BA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50AC680E-DDF5-420F-BD7C-31C371F101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3E747099-E7E0-46EC-B9E9-6B8DB305F1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8E4D0163-A2E1-4921-9C6E-840901F1D3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7F2799CF-1FCD-4EFB-B577-BCD430687C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84980C52-52E2-4E2D-966D-F95B79266C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F53FAAC7-80FB-41D7-81FE-21CED0CA97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932F960C-0541-4509-BC11-4B8A244052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51895DD3-D653-440E-A03A-EA6A36A58B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C14A5C24-8AF6-4735-BFA3-E3999F3812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B06BDE90-910B-4028-9BE0-E17F6516A3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2</xdr:col>
      <xdr:colOff>2</xdr:colOff>
      <xdr:row>2</xdr:row>
      <xdr:rowOff>14615</xdr:rowOff>
    </xdr:from>
    <xdr:to>
      <xdr:col>3</xdr:col>
      <xdr:colOff>485776</xdr:colOff>
      <xdr:row>6</xdr:row>
      <xdr:rowOff>152401</xdr:rowOff>
    </xdr:to>
    <xdr:pic>
      <xdr:nvPicPr>
        <xdr:cNvPr id="2" name="Picture 1">
          <a:extLst>
            <a:ext uri="{FF2B5EF4-FFF2-40B4-BE49-F238E27FC236}">
              <a16:creationId xmlns:a16="http://schemas.microsoft.com/office/drawing/2014/main" id="{E3879EFB-8B18-45E1-A3D8-AAD3BF77A0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977" y="414665"/>
          <a:ext cx="1152524" cy="107123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2:N66"/>
  <sheetViews>
    <sheetView workbookViewId="0">
      <selection activeCell="D13" sqref="D13:H13"/>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29</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252" t="s">
        <v>32</v>
      </c>
      <c r="E13" s="252"/>
      <c r="F13" s="252"/>
      <c r="G13" s="252"/>
      <c r="H13" s="252"/>
      <c r="I13" s="21"/>
      <c r="J13" s="1"/>
      <c r="K13" s="1"/>
      <c r="L13" s="5" t="s">
        <v>1</v>
      </c>
      <c r="M13" s="50">
        <v>45504</v>
      </c>
      <c r="N13" s="6"/>
    </row>
    <row r="14" spans="1:14">
      <c r="B14" s="1"/>
      <c r="C14" s="5" t="s">
        <v>2</v>
      </c>
      <c r="D14" s="253"/>
      <c r="E14" s="253"/>
      <c r="F14" s="253"/>
      <c r="G14" s="253"/>
      <c r="H14" s="253"/>
      <c r="I14" s="21"/>
      <c r="J14" s="1"/>
      <c r="K14" s="1"/>
      <c r="L14" s="5" t="s">
        <v>3</v>
      </c>
      <c r="M14" s="34"/>
      <c r="N14" s="7"/>
    </row>
    <row r="15" spans="1:14">
      <c r="B15" s="1"/>
      <c r="C15" s="5" t="s">
        <v>4</v>
      </c>
      <c r="D15" s="31"/>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9" t="s">
        <v>8</v>
      </c>
      <c r="D18" s="254" t="s">
        <v>9</v>
      </c>
      <c r="E18" s="255"/>
      <c r="F18" s="255"/>
      <c r="G18" s="255"/>
      <c r="H18" s="255"/>
      <c r="I18" s="255"/>
      <c r="J18" s="255"/>
      <c r="K18" s="256"/>
      <c r="L18" s="9" t="s">
        <v>10</v>
      </c>
      <c r="M18" s="10" t="s">
        <v>11</v>
      </c>
      <c r="N18" s="1"/>
    </row>
    <row r="19" spans="2:14">
      <c r="B19" s="1"/>
      <c r="C19" s="36">
        <v>8</v>
      </c>
      <c r="D19" s="257" t="s">
        <v>30</v>
      </c>
      <c r="E19" s="258"/>
      <c r="F19" s="258"/>
      <c r="G19" s="258"/>
      <c r="H19" s="258"/>
      <c r="I19" s="258"/>
      <c r="J19" s="258"/>
      <c r="K19" s="259"/>
      <c r="L19" s="43">
        <v>120</v>
      </c>
      <c r="M19" s="45">
        <f>IF(L19&lt;&gt;"",ROUND(L19*C19,2),"")</f>
        <v>960</v>
      </c>
      <c r="N19" s="1"/>
    </row>
    <row r="20" spans="2:14">
      <c r="B20" s="1"/>
      <c r="C20" s="37"/>
      <c r="D20" s="61"/>
      <c r="E20" s="60"/>
      <c r="F20" s="60"/>
      <c r="G20" s="60"/>
      <c r="H20" s="60"/>
      <c r="I20" s="60"/>
      <c r="J20" s="60"/>
      <c r="K20" s="59"/>
      <c r="L20" s="41"/>
      <c r="M20" s="42"/>
      <c r="N20" s="1"/>
    </row>
    <row r="21" spans="2:14">
      <c r="B21" s="1"/>
      <c r="C21" s="37"/>
      <c r="D21" s="260"/>
      <c r="E21" s="261"/>
      <c r="F21" s="261"/>
      <c r="G21" s="261"/>
      <c r="H21" s="261"/>
      <c r="I21" s="261"/>
      <c r="J21" s="261"/>
      <c r="K21" s="262"/>
      <c r="L21" s="41"/>
      <c r="M21" s="42" t="str">
        <f t="shared" ref="M21:M45" si="0">IF(L21&lt;&gt;"",ROUND(L21*C21,2),"")</f>
        <v/>
      </c>
      <c r="N21" s="1"/>
    </row>
    <row r="22" spans="2:14">
      <c r="B22" s="1"/>
      <c r="C22" s="37">
        <v>8</v>
      </c>
      <c r="D22" s="244" t="s">
        <v>31</v>
      </c>
      <c r="E22" s="245"/>
      <c r="F22" s="245"/>
      <c r="G22" s="245"/>
      <c r="H22" s="245"/>
      <c r="I22" s="245"/>
      <c r="J22" s="245"/>
      <c r="K22" s="246"/>
      <c r="L22" s="41">
        <v>120</v>
      </c>
      <c r="M22" s="42">
        <f t="shared" si="0"/>
        <v>960</v>
      </c>
      <c r="N22" s="1"/>
    </row>
    <row r="23" spans="2:14">
      <c r="B23" s="1"/>
      <c r="C23" s="37"/>
      <c r="D23" s="57"/>
      <c r="E23" s="58"/>
      <c r="F23" s="58"/>
      <c r="G23" s="58"/>
      <c r="H23" s="58"/>
      <c r="I23" s="58"/>
      <c r="J23" s="58"/>
      <c r="K23" s="59"/>
      <c r="L23" s="41"/>
      <c r="M23" s="42"/>
      <c r="N23" s="1"/>
    </row>
    <row r="24" spans="2:14">
      <c r="B24" s="1"/>
      <c r="C24" s="37"/>
      <c r="D24" s="244"/>
      <c r="E24" s="245"/>
      <c r="F24" s="245"/>
      <c r="G24" s="245"/>
      <c r="H24" s="245"/>
      <c r="I24" s="245"/>
      <c r="J24" s="245"/>
      <c r="K24" s="246"/>
      <c r="L24" s="41"/>
      <c r="M24" s="42" t="str">
        <f t="shared" si="0"/>
        <v/>
      </c>
      <c r="N24" s="1"/>
    </row>
    <row r="25" spans="2:14">
      <c r="B25" s="1"/>
      <c r="C25" s="37"/>
      <c r="D25" s="57"/>
      <c r="E25" s="58"/>
      <c r="F25" s="58"/>
      <c r="G25" s="58"/>
      <c r="H25" s="58"/>
      <c r="I25" s="58"/>
      <c r="J25" s="58"/>
      <c r="K25" s="59"/>
      <c r="L25" s="41"/>
      <c r="M25" s="42"/>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57"/>
      <c r="E28" s="58"/>
      <c r="F28" s="58"/>
      <c r="G28" s="58"/>
      <c r="H28" s="58"/>
      <c r="I28" s="58"/>
      <c r="J28" s="58"/>
      <c r="K28" s="59"/>
      <c r="L28" s="41"/>
      <c r="M28" s="42"/>
      <c r="N28" s="1"/>
    </row>
    <row r="29" spans="2:14">
      <c r="B29" s="1"/>
      <c r="C29" s="37"/>
      <c r="D29" s="57"/>
      <c r="E29" s="58"/>
      <c r="F29" s="58"/>
      <c r="G29" s="58"/>
      <c r="H29" s="58"/>
      <c r="I29" s="58"/>
      <c r="J29" s="58"/>
      <c r="K29" s="59"/>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54"/>
      <c r="E33" s="55"/>
      <c r="F33" s="55"/>
      <c r="G33" s="55"/>
      <c r="H33" s="55"/>
      <c r="I33" s="55"/>
      <c r="J33" s="55"/>
      <c r="K33" s="56"/>
      <c r="L33" s="41"/>
      <c r="M33" s="42"/>
      <c r="N33" s="1"/>
    </row>
    <row r="34" spans="2:14">
      <c r="B34" s="1"/>
      <c r="C34" s="37"/>
      <c r="D34" s="57"/>
      <c r="E34" s="58"/>
      <c r="F34" s="58"/>
      <c r="G34" s="58"/>
      <c r="H34" s="58"/>
      <c r="I34" s="58"/>
      <c r="J34" s="58"/>
      <c r="K34" s="59"/>
      <c r="L34" s="41"/>
      <c r="M34" s="42"/>
      <c r="N34" s="1"/>
    </row>
    <row r="35" spans="2:14">
      <c r="B35" s="1"/>
      <c r="C35" s="37"/>
      <c r="D35" s="244"/>
      <c r="E35" s="245"/>
      <c r="F35" s="245"/>
      <c r="G35" s="245"/>
      <c r="H35" s="245"/>
      <c r="I35" s="245"/>
      <c r="J35" s="245"/>
      <c r="K35" s="246"/>
      <c r="L35" s="41"/>
      <c r="M35" s="42" t="str">
        <f t="shared" si="0"/>
        <v/>
      </c>
      <c r="N35" s="1"/>
    </row>
    <row r="36" spans="2:14">
      <c r="B36" s="1"/>
      <c r="C36" s="37"/>
      <c r="D36" s="57"/>
      <c r="E36" s="58"/>
      <c r="F36" s="58"/>
      <c r="G36" s="58"/>
      <c r="H36" s="58"/>
      <c r="I36" s="58"/>
      <c r="J36" s="58"/>
      <c r="K36" s="59"/>
      <c r="L36" s="41"/>
      <c r="M36" s="42"/>
      <c r="N36" s="1"/>
    </row>
    <row r="37" spans="2:14">
      <c r="B37" s="1"/>
      <c r="C37" s="37"/>
      <c r="D37" s="57"/>
      <c r="E37" s="58"/>
      <c r="F37" s="58"/>
      <c r="G37" s="58"/>
      <c r="H37" s="58"/>
      <c r="I37" s="58"/>
      <c r="J37" s="58"/>
      <c r="K37" s="59"/>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57"/>
      <c r="E40" s="58"/>
      <c r="F40" s="58"/>
      <c r="G40" s="58"/>
      <c r="H40" s="58"/>
      <c r="I40" s="58"/>
      <c r="J40" s="58"/>
      <c r="K40" s="59"/>
      <c r="L40" s="41"/>
      <c r="M40" s="42"/>
      <c r="N40" s="1"/>
    </row>
    <row r="41" spans="2:14">
      <c r="B41" s="1"/>
      <c r="C41" s="37"/>
      <c r="D41" s="244"/>
      <c r="E41" s="245"/>
      <c r="F41" s="245"/>
      <c r="G41" s="245"/>
      <c r="H41" s="245"/>
      <c r="I41" s="245"/>
      <c r="J41" s="245"/>
      <c r="K41" s="246"/>
      <c r="L41" s="41"/>
      <c r="M41" s="42" t="str">
        <f t="shared" si="0"/>
        <v/>
      </c>
      <c r="N41" s="1"/>
    </row>
    <row r="42" spans="2:14">
      <c r="B42" s="1"/>
      <c r="C42" s="37"/>
      <c r="D42" s="57"/>
      <c r="E42" s="58"/>
      <c r="F42" s="58"/>
      <c r="G42" s="58"/>
      <c r="H42" s="58"/>
      <c r="I42" s="58"/>
      <c r="J42" s="58"/>
      <c r="K42" s="59"/>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57"/>
      <c r="E44" s="58"/>
      <c r="F44" s="58"/>
      <c r="G44" s="58"/>
      <c r="H44" s="58"/>
      <c r="I44" s="58"/>
      <c r="J44" s="58"/>
      <c r="K44" s="59"/>
      <c r="L44" s="41"/>
      <c r="M44" s="42"/>
      <c r="N44" s="1"/>
    </row>
    <row r="45" spans="2:14">
      <c r="B45" s="1"/>
      <c r="C45" s="37"/>
      <c r="D45" s="244"/>
      <c r="E45" s="250"/>
      <c r="F45" s="250"/>
      <c r="G45" s="250"/>
      <c r="H45" s="250"/>
      <c r="I45" s="250"/>
      <c r="J45" s="250"/>
      <c r="K45" s="246"/>
      <c r="L45" s="41"/>
      <c r="M45" s="42" t="str">
        <f t="shared" si="0"/>
        <v/>
      </c>
      <c r="N45" s="1"/>
    </row>
    <row r="46" spans="2:14">
      <c r="B46" s="1"/>
      <c r="C46" s="37"/>
      <c r="D46" s="57"/>
      <c r="E46" s="60"/>
      <c r="F46" s="60"/>
      <c r="G46" s="60"/>
      <c r="H46" s="60"/>
      <c r="I46" s="60"/>
      <c r="J46" s="60"/>
      <c r="K46" s="59"/>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1920</v>
      </c>
      <c r="N48" s="1"/>
    </row>
    <row r="49" spans="2:14" ht="13.5" thickBot="1">
      <c r="B49" s="1"/>
      <c r="C49" s="1"/>
      <c r="D49" s="1"/>
      <c r="E49" s="1"/>
      <c r="F49" s="1"/>
      <c r="G49" s="1"/>
      <c r="H49" s="1"/>
      <c r="I49" s="1"/>
      <c r="J49" s="1"/>
      <c r="K49" s="1"/>
      <c r="L49" s="11"/>
      <c r="M49" s="47"/>
      <c r="N49" s="1"/>
    </row>
    <row r="50" spans="2:14">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1920</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6">
    <mergeCell ref="H3:K6"/>
    <mergeCell ref="D13:H13"/>
    <mergeCell ref="D27:K27"/>
    <mergeCell ref="D26:K26"/>
    <mergeCell ref="D24:K24"/>
    <mergeCell ref="D14:H14"/>
    <mergeCell ref="D16:H16"/>
    <mergeCell ref="D18:K18"/>
    <mergeCell ref="D19:K19"/>
    <mergeCell ref="D21:K21"/>
    <mergeCell ref="D22:K22"/>
    <mergeCell ref="D47:K47"/>
    <mergeCell ref="D45:K45"/>
    <mergeCell ref="D43:K43"/>
    <mergeCell ref="D41:K41"/>
    <mergeCell ref="D39:K39"/>
    <mergeCell ref="D32:K32"/>
    <mergeCell ref="D31:K31"/>
    <mergeCell ref="D30:K30"/>
    <mergeCell ref="D38:K38"/>
    <mergeCell ref="D35:K35"/>
    <mergeCell ref="D64:L66"/>
    <mergeCell ref="J54:M56"/>
    <mergeCell ref="C58:M61"/>
    <mergeCell ref="D51:G56"/>
    <mergeCell ref="C63:M63"/>
  </mergeCells>
  <phoneticPr fontId="0" type="noConversion"/>
  <dataValidations xWindow="785" yWindow="448" count="9">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00000000-0002-0000-0000-000001000000}"/>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00000000-0002-0000-0000-000002000000}"/>
    <dataValidation errorStyle="warning" allowBlank="1" showInputMessage="1" errorTitle="State" promptTitle="State" prompt="Enter the state abbreviation into this cell." sqref="F15" xr:uid="{00000000-0002-0000-0000-000003000000}"/>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00000000-0002-0000-0000-000004000000}"/>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00000000-0002-0000-0000-000006000000}"/>
    <dataValidation allowBlank="1" showInputMessage="1" showErrorMessage="1" promptTitle="Tax Rate" prompt="To add a tax here, or to change the percentage associated with this tax, enter the tax rate in the cell to the left.  The tax rate will then be automatically calculated." sqref="L51 K50" xr:uid="{00000000-0002-0000-0000-000007000000}"/>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00000000-0002-0000-0000-000008000000}"/>
    <dataValidation type="whole" errorStyle="warning" allowBlank="1" showErrorMessage="1" errorTitle="Quantity" error="You must enter a number in this cell." promptTitle="Quantity" sqref="C19:C47" xr:uid="{00000000-0002-0000-0000-000000000000}">
      <formula1>0</formula1>
      <formula2>1000000000</formula2>
    </dataValidation>
    <dataValidation type="decimal" allowBlank="1" showErrorMessage="1" errorTitle="Unit Price" error="You must enter a number into this cell." promptTitle="Unit Price" sqref="L19:L47" xr:uid="{00000000-0002-0000-0000-000005000000}">
      <formula1>0</formula1>
      <formula2>1000000000</formula2>
    </dataValidation>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0B91D-7813-4089-B95A-D968BCCC7C6C}">
  <sheetPr>
    <pageSetUpPr fitToPage="1"/>
  </sheetPr>
  <dimension ref="A2:N66"/>
  <sheetViews>
    <sheetView workbookViewId="0">
      <selection activeCell="M24" sqref="M24"/>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33</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252" t="s">
        <v>32</v>
      </c>
      <c r="E13" s="252"/>
      <c r="F13" s="252"/>
      <c r="G13" s="252"/>
      <c r="H13" s="252"/>
      <c r="I13" s="21"/>
      <c r="J13" s="1"/>
      <c r="K13" s="1"/>
      <c r="L13" s="5" t="s">
        <v>1</v>
      </c>
      <c r="M13" s="50">
        <v>45550</v>
      </c>
      <c r="N13" s="6"/>
    </row>
    <row r="14" spans="1:14">
      <c r="B14" s="1"/>
      <c r="C14" s="5" t="s">
        <v>2</v>
      </c>
      <c r="D14" s="253"/>
      <c r="E14" s="253"/>
      <c r="F14" s="253"/>
      <c r="G14" s="253"/>
      <c r="H14" s="253"/>
      <c r="I14" s="21"/>
      <c r="J14" s="1"/>
      <c r="K14" s="1"/>
      <c r="L14" s="5" t="s">
        <v>3</v>
      </c>
      <c r="M14" s="34"/>
      <c r="N14" s="7"/>
    </row>
    <row r="15" spans="1:14">
      <c r="B15" s="1"/>
      <c r="C15" s="5" t="s">
        <v>4</v>
      </c>
      <c r="D15" s="31"/>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68" t="s">
        <v>8</v>
      </c>
      <c r="D18" s="254" t="s">
        <v>9</v>
      </c>
      <c r="E18" s="255"/>
      <c r="F18" s="255"/>
      <c r="G18" s="255"/>
      <c r="H18" s="255"/>
      <c r="I18" s="255"/>
      <c r="J18" s="255"/>
      <c r="K18" s="256"/>
      <c r="L18" s="68" t="s">
        <v>10</v>
      </c>
      <c r="M18" s="10" t="s">
        <v>11</v>
      </c>
      <c r="N18" s="1"/>
    </row>
    <row r="19" spans="2:14">
      <c r="B19" s="1"/>
      <c r="C19" s="36">
        <v>5</v>
      </c>
      <c r="D19" s="257" t="s">
        <v>30</v>
      </c>
      <c r="E19" s="258"/>
      <c r="F19" s="258"/>
      <c r="G19" s="258"/>
      <c r="H19" s="258"/>
      <c r="I19" s="258"/>
      <c r="J19" s="258"/>
      <c r="K19" s="259"/>
      <c r="L19" s="43">
        <v>100</v>
      </c>
      <c r="M19" s="45">
        <f>IF(L19&lt;&gt;"",ROUND(L19*C19,2),"")</f>
        <v>500</v>
      </c>
      <c r="N19" s="1"/>
    </row>
    <row r="20" spans="2:14">
      <c r="B20" s="1"/>
      <c r="C20" s="37"/>
      <c r="D20" s="61"/>
      <c r="E20" s="67"/>
      <c r="F20" s="67"/>
      <c r="G20" s="67"/>
      <c r="H20" s="67"/>
      <c r="I20" s="67"/>
      <c r="J20" s="67"/>
      <c r="K20" s="66"/>
      <c r="L20" s="41"/>
      <c r="M20" s="42"/>
      <c r="N20" s="1"/>
    </row>
    <row r="21" spans="2:14">
      <c r="B21" s="1"/>
      <c r="C21" s="37"/>
      <c r="D21" s="260"/>
      <c r="E21" s="261"/>
      <c r="F21" s="261"/>
      <c r="G21" s="261"/>
      <c r="H21" s="261"/>
      <c r="I21" s="261"/>
      <c r="J21" s="261"/>
      <c r="K21" s="262"/>
      <c r="L21" s="41"/>
      <c r="M21" s="42" t="str">
        <f t="shared" ref="M21:M45" si="0">IF(L21&lt;&gt;"",ROUND(L21*C21,2),"")</f>
        <v/>
      </c>
      <c r="N21" s="1"/>
    </row>
    <row r="22" spans="2:14">
      <c r="B22" s="1"/>
      <c r="C22" s="37">
        <v>5</v>
      </c>
      <c r="D22" s="244" t="s">
        <v>31</v>
      </c>
      <c r="E22" s="245"/>
      <c r="F22" s="245"/>
      <c r="G22" s="245"/>
      <c r="H22" s="245"/>
      <c r="I22" s="245"/>
      <c r="J22" s="245"/>
      <c r="K22" s="246"/>
      <c r="L22" s="41">
        <v>100</v>
      </c>
      <c r="M22" s="42">
        <f t="shared" si="0"/>
        <v>500</v>
      </c>
      <c r="N22" s="1"/>
    </row>
    <row r="23" spans="2:14">
      <c r="B23" s="1"/>
      <c r="C23" s="37"/>
      <c r="D23" s="64"/>
      <c r="E23" s="65"/>
      <c r="F23" s="65"/>
      <c r="G23" s="65"/>
      <c r="H23" s="65"/>
      <c r="I23" s="65"/>
      <c r="J23" s="65"/>
      <c r="K23" s="66"/>
      <c r="L23" s="41"/>
      <c r="M23" s="42"/>
      <c r="N23" s="1"/>
    </row>
    <row r="24" spans="2:14">
      <c r="B24" s="1"/>
      <c r="C24" s="37">
        <v>1</v>
      </c>
      <c r="D24" s="244" t="s">
        <v>34</v>
      </c>
      <c r="E24" s="245"/>
      <c r="F24" s="245"/>
      <c r="G24" s="245"/>
      <c r="H24" s="245"/>
      <c r="I24" s="245"/>
      <c r="J24" s="245"/>
      <c r="K24" s="246"/>
      <c r="L24" s="41">
        <v>100</v>
      </c>
      <c r="M24" s="42">
        <f t="shared" si="0"/>
        <v>100</v>
      </c>
      <c r="N24" s="1"/>
    </row>
    <row r="25" spans="2:14">
      <c r="B25" s="1"/>
      <c r="C25" s="37"/>
      <c r="D25" s="64"/>
      <c r="E25" s="65"/>
      <c r="F25" s="65"/>
      <c r="G25" s="65"/>
      <c r="H25" s="65"/>
      <c r="I25" s="65"/>
      <c r="J25" s="65"/>
      <c r="K25" s="66"/>
      <c r="L25" s="41"/>
      <c r="M25" s="42"/>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64"/>
      <c r="E28" s="65"/>
      <c r="F28" s="65"/>
      <c r="G28" s="65"/>
      <c r="H28" s="65"/>
      <c r="I28" s="65"/>
      <c r="J28" s="65"/>
      <c r="K28" s="66"/>
      <c r="L28" s="41"/>
      <c r="M28" s="42"/>
      <c r="N28" s="1"/>
    </row>
    <row r="29" spans="2:14">
      <c r="B29" s="1"/>
      <c r="C29" s="37"/>
      <c r="D29" s="64"/>
      <c r="E29" s="65"/>
      <c r="F29" s="65"/>
      <c r="G29" s="65"/>
      <c r="H29" s="65"/>
      <c r="I29" s="65"/>
      <c r="J29" s="65"/>
      <c r="K29" s="66"/>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64"/>
      <c r="E33" s="65"/>
      <c r="F33" s="65"/>
      <c r="G33" s="65"/>
      <c r="H33" s="65"/>
      <c r="I33" s="65"/>
      <c r="J33" s="65"/>
      <c r="K33" s="66"/>
      <c r="L33" s="41"/>
      <c r="M33" s="42"/>
      <c r="N33" s="1"/>
    </row>
    <row r="34" spans="2:14">
      <c r="B34" s="1"/>
      <c r="C34" s="37"/>
      <c r="D34" s="64"/>
      <c r="E34" s="65"/>
      <c r="F34" s="65"/>
      <c r="G34" s="65"/>
      <c r="H34" s="65"/>
      <c r="I34" s="65"/>
      <c r="J34" s="65"/>
      <c r="K34" s="66"/>
      <c r="L34" s="41"/>
      <c r="M34" s="42"/>
      <c r="N34" s="1"/>
    </row>
    <row r="35" spans="2:14">
      <c r="B35" s="1"/>
      <c r="C35" s="37"/>
      <c r="D35" s="244"/>
      <c r="E35" s="245"/>
      <c r="F35" s="245"/>
      <c r="G35" s="245"/>
      <c r="H35" s="245"/>
      <c r="I35" s="245"/>
      <c r="J35" s="245"/>
      <c r="K35" s="246"/>
      <c r="L35" s="41"/>
      <c r="M35" s="42" t="str">
        <f t="shared" si="0"/>
        <v/>
      </c>
      <c r="N35" s="1"/>
    </row>
    <row r="36" spans="2:14">
      <c r="B36" s="1"/>
      <c r="C36" s="37"/>
      <c r="D36" s="64"/>
      <c r="E36" s="65"/>
      <c r="F36" s="65"/>
      <c r="G36" s="65"/>
      <c r="H36" s="65"/>
      <c r="I36" s="65"/>
      <c r="J36" s="65"/>
      <c r="K36" s="66"/>
      <c r="L36" s="41"/>
      <c r="M36" s="42"/>
      <c r="N36" s="1"/>
    </row>
    <row r="37" spans="2:14">
      <c r="B37" s="1"/>
      <c r="C37" s="37"/>
      <c r="D37" s="64"/>
      <c r="E37" s="65"/>
      <c r="F37" s="65"/>
      <c r="G37" s="65"/>
      <c r="H37" s="65"/>
      <c r="I37" s="65"/>
      <c r="J37" s="65"/>
      <c r="K37" s="66"/>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64"/>
      <c r="E40" s="65"/>
      <c r="F40" s="65"/>
      <c r="G40" s="65"/>
      <c r="H40" s="65"/>
      <c r="I40" s="65"/>
      <c r="J40" s="65"/>
      <c r="K40" s="66"/>
      <c r="L40" s="41"/>
      <c r="M40" s="42"/>
      <c r="N40" s="1"/>
    </row>
    <row r="41" spans="2:14">
      <c r="B41" s="1"/>
      <c r="C41" s="37"/>
      <c r="D41" s="244"/>
      <c r="E41" s="245"/>
      <c r="F41" s="245"/>
      <c r="G41" s="245"/>
      <c r="H41" s="245"/>
      <c r="I41" s="245"/>
      <c r="J41" s="245"/>
      <c r="K41" s="246"/>
      <c r="L41" s="41"/>
      <c r="M41" s="42" t="str">
        <f t="shared" si="0"/>
        <v/>
      </c>
      <c r="N41" s="1"/>
    </row>
    <row r="42" spans="2:14">
      <c r="B42" s="1"/>
      <c r="C42" s="37"/>
      <c r="D42" s="64"/>
      <c r="E42" s="65"/>
      <c r="F42" s="65"/>
      <c r="G42" s="65"/>
      <c r="H42" s="65"/>
      <c r="I42" s="65"/>
      <c r="J42" s="65"/>
      <c r="K42" s="66"/>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64"/>
      <c r="E44" s="65"/>
      <c r="F44" s="65"/>
      <c r="G44" s="65"/>
      <c r="H44" s="65"/>
      <c r="I44" s="65"/>
      <c r="J44" s="65"/>
      <c r="K44" s="66"/>
      <c r="L44" s="41"/>
      <c r="M44" s="42"/>
      <c r="N44" s="1"/>
    </row>
    <row r="45" spans="2:14">
      <c r="B45" s="1"/>
      <c r="C45" s="37"/>
      <c r="D45" s="244"/>
      <c r="E45" s="250"/>
      <c r="F45" s="250"/>
      <c r="G45" s="250"/>
      <c r="H45" s="250"/>
      <c r="I45" s="250"/>
      <c r="J45" s="250"/>
      <c r="K45" s="246"/>
      <c r="L45" s="41"/>
      <c r="M45" s="42" t="str">
        <f t="shared" si="0"/>
        <v/>
      </c>
      <c r="N45" s="1"/>
    </row>
    <row r="46" spans="2:14">
      <c r="B46" s="1"/>
      <c r="C46" s="37"/>
      <c r="D46" s="64"/>
      <c r="E46" s="67"/>
      <c r="F46" s="67"/>
      <c r="G46" s="67"/>
      <c r="H46" s="67"/>
      <c r="I46" s="67"/>
      <c r="J46" s="67"/>
      <c r="K46" s="66"/>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1100</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1100</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6">
    <mergeCell ref="D19:K19"/>
    <mergeCell ref="H3:K6"/>
    <mergeCell ref="D13:H13"/>
    <mergeCell ref="D14:H14"/>
    <mergeCell ref="D16:H16"/>
    <mergeCell ref="D18:K18"/>
    <mergeCell ref="D41:K41"/>
    <mergeCell ref="D21:K21"/>
    <mergeCell ref="D22:K22"/>
    <mergeCell ref="D24:K24"/>
    <mergeCell ref="D26:K26"/>
    <mergeCell ref="D27:K27"/>
    <mergeCell ref="D30:K30"/>
    <mergeCell ref="D31:K31"/>
    <mergeCell ref="D32:K32"/>
    <mergeCell ref="D35:K35"/>
    <mergeCell ref="D38:K38"/>
    <mergeCell ref="D39:K39"/>
    <mergeCell ref="C63:M63"/>
    <mergeCell ref="D64:L66"/>
    <mergeCell ref="D43:K43"/>
    <mergeCell ref="D45:K45"/>
    <mergeCell ref="D47:K47"/>
    <mergeCell ref="D51:G56"/>
    <mergeCell ref="J54:M56"/>
    <mergeCell ref="C58:M61"/>
  </mergeCells>
  <dataValidations count="9">
    <dataValidation type="decimal" allowBlank="1" showErrorMessage="1" errorTitle="Unit Price" error="You must enter a number into this cell." promptTitle="Unit Price" sqref="L19:L47" xr:uid="{9F4838BB-245A-4457-A5CC-98F812044C53}">
      <formula1>0</formula1>
      <formula2>1000000000</formula2>
    </dataValidation>
    <dataValidation type="whole" errorStyle="warning" allowBlank="1" showErrorMessage="1" errorTitle="Quantity" error="You must enter a number in this cell." promptTitle="Quantity" sqref="C19:C47" xr:uid="{2ADB892A-3AB5-45C3-895A-022F00BC0135}">
      <formula1>0</formula1>
      <formula2>1000000000</formula2>
    </dataValidation>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16898569-08DD-470F-83C9-57CAD4BC0F5C}"/>
    <dataValidation allowBlank="1" showInputMessage="1" showErrorMessage="1" promptTitle="Tax Rate" prompt="To add a tax here, or to change the percentage associated with this tax, enter the tax rate in the cell to the left.  The tax rate will then be automatically calculated." sqref="L51 K50" xr:uid="{DAE27C60-F2C4-4D99-A479-7989D9BE9D93}"/>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9734466F-056E-4B4A-AD2E-50599B808274}"/>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B0ACFC68-698A-4543-9D57-83DE2CFF3470}"/>
    <dataValidation errorStyle="warning" allowBlank="1" showInputMessage="1" errorTitle="State" promptTitle="State" prompt="Enter the state abbreviation into this cell." sqref="F15" xr:uid="{BCB7E246-0EEF-4589-857A-2F2A5E7FA1AA}"/>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83D3D053-55A4-46D2-B0A4-BE8882B8C79C}"/>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EC697383-FDEE-4264-B8CE-44C5DF74DE84}"/>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75F1F-54B7-4A38-9DDA-9ED1C7BE9606}">
  <sheetPr>
    <pageSetUpPr fitToPage="1"/>
  </sheetPr>
  <dimension ref="A2:N66"/>
  <sheetViews>
    <sheetView workbookViewId="0">
      <selection activeCell="D15" sqref="D15"/>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35</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69" t="s">
        <v>36</v>
      </c>
      <c r="E13" s="69"/>
      <c r="F13" s="69"/>
      <c r="G13" s="69"/>
      <c r="H13" s="69"/>
      <c r="I13" s="21"/>
      <c r="J13" s="1"/>
      <c r="K13" s="1"/>
      <c r="L13" s="5" t="s">
        <v>1</v>
      </c>
      <c r="M13" s="50">
        <v>45938</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73" t="s">
        <v>8</v>
      </c>
      <c r="D18" s="254" t="s">
        <v>9</v>
      </c>
      <c r="E18" s="255"/>
      <c r="F18" s="255"/>
      <c r="G18" s="255"/>
      <c r="H18" s="255"/>
      <c r="I18" s="255"/>
      <c r="J18" s="255"/>
      <c r="K18" s="256"/>
      <c r="L18" s="73" t="s">
        <v>10</v>
      </c>
      <c r="M18" s="10" t="s">
        <v>11</v>
      </c>
      <c r="N18" s="1"/>
    </row>
    <row r="19" spans="2:14">
      <c r="B19" s="1"/>
      <c r="C19" s="36">
        <v>2</v>
      </c>
      <c r="D19" s="244" t="s">
        <v>31</v>
      </c>
      <c r="E19" s="245"/>
      <c r="F19" s="245"/>
      <c r="G19" s="245"/>
      <c r="H19" s="245"/>
      <c r="I19" s="245"/>
      <c r="J19" s="245"/>
      <c r="K19" s="246"/>
      <c r="L19" s="43">
        <v>100</v>
      </c>
      <c r="M19" s="45">
        <f>IF(L19&lt;&gt;"",ROUND(L19*C19,2),"")</f>
        <v>200</v>
      </c>
      <c r="N19" s="1"/>
    </row>
    <row r="20" spans="2:14">
      <c r="B20" s="1"/>
      <c r="C20" s="37"/>
      <c r="D20" s="61"/>
      <c r="E20" s="74"/>
      <c r="F20" s="74"/>
      <c r="G20" s="74"/>
      <c r="H20" s="74"/>
      <c r="I20" s="74"/>
      <c r="J20" s="74"/>
      <c r="K20" s="72"/>
      <c r="L20" s="41"/>
      <c r="M20" s="42"/>
      <c r="N20" s="1"/>
    </row>
    <row r="21" spans="2:14">
      <c r="B21" s="1"/>
      <c r="C21" s="37"/>
      <c r="D21" s="260"/>
      <c r="E21" s="261"/>
      <c r="F21" s="261"/>
      <c r="G21" s="261"/>
      <c r="H21" s="261"/>
      <c r="I21" s="261"/>
      <c r="J21" s="261"/>
      <c r="K21" s="262"/>
      <c r="L21" s="41"/>
      <c r="M21" s="42" t="str">
        <f t="shared" ref="M21:M45" si="0">IF(L21&lt;&gt;"",ROUND(L21*C21,2),"")</f>
        <v/>
      </c>
      <c r="N21" s="1"/>
    </row>
    <row r="22" spans="2:14">
      <c r="B22" s="1"/>
      <c r="C22" s="37"/>
      <c r="D22" s="244"/>
      <c r="E22" s="245"/>
      <c r="F22" s="245"/>
      <c r="G22" s="245"/>
      <c r="H22" s="245"/>
      <c r="I22" s="245"/>
      <c r="J22" s="245"/>
      <c r="K22" s="246"/>
      <c r="L22" s="41"/>
      <c r="M22" s="42" t="str">
        <f t="shared" si="0"/>
        <v/>
      </c>
      <c r="N22" s="1"/>
    </row>
    <row r="23" spans="2:14">
      <c r="B23" s="1"/>
      <c r="C23" s="37"/>
      <c r="D23" s="70"/>
      <c r="E23" s="71"/>
      <c r="F23" s="71"/>
      <c r="G23" s="71"/>
      <c r="H23" s="71"/>
      <c r="I23" s="71"/>
      <c r="J23" s="71"/>
      <c r="K23" s="72"/>
      <c r="L23" s="41"/>
      <c r="M23" s="42"/>
      <c r="N23" s="1"/>
    </row>
    <row r="24" spans="2:14">
      <c r="B24" s="1"/>
      <c r="C24" s="37"/>
      <c r="D24" s="244"/>
      <c r="E24" s="245"/>
      <c r="F24" s="245"/>
      <c r="G24" s="245"/>
      <c r="H24" s="245"/>
      <c r="I24" s="245"/>
      <c r="J24" s="245"/>
      <c r="K24" s="246"/>
      <c r="L24" s="41"/>
      <c r="M24" s="42" t="str">
        <f t="shared" si="0"/>
        <v/>
      </c>
      <c r="N24" s="1"/>
    </row>
    <row r="25" spans="2:14">
      <c r="B25" s="1"/>
      <c r="C25" s="37"/>
      <c r="D25" s="70"/>
      <c r="E25" s="71"/>
      <c r="F25" s="71"/>
      <c r="G25" s="71"/>
      <c r="H25" s="71"/>
      <c r="I25" s="71"/>
      <c r="J25" s="71"/>
      <c r="K25" s="72"/>
      <c r="L25" s="41"/>
      <c r="M25" s="42"/>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70"/>
      <c r="E28" s="71"/>
      <c r="F28" s="71"/>
      <c r="G28" s="71"/>
      <c r="H28" s="71"/>
      <c r="I28" s="71"/>
      <c r="J28" s="71"/>
      <c r="K28" s="72"/>
      <c r="L28" s="41"/>
      <c r="M28" s="42"/>
      <c r="N28" s="1"/>
    </row>
    <row r="29" spans="2:14">
      <c r="B29" s="1"/>
      <c r="C29" s="37"/>
      <c r="D29" s="70"/>
      <c r="E29" s="71"/>
      <c r="F29" s="71"/>
      <c r="G29" s="71"/>
      <c r="H29" s="71"/>
      <c r="I29" s="71"/>
      <c r="J29" s="71"/>
      <c r="K29" s="72"/>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70"/>
      <c r="E33" s="71"/>
      <c r="F33" s="71"/>
      <c r="G33" s="71"/>
      <c r="H33" s="71"/>
      <c r="I33" s="71"/>
      <c r="J33" s="71"/>
      <c r="K33" s="72"/>
      <c r="L33" s="41"/>
      <c r="M33" s="42"/>
      <c r="N33" s="1"/>
    </row>
    <row r="34" spans="2:14">
      <c r="B34" s="1"/>
      <c r="C34" s="37"/>
      <c r="D34" s="70"/>
      <c r="E34" s="71"/>
      <c r="F34" s="71"/>
      <c r="G34" s="71"/>
      <c r="H34" s="71"/>
      <c r="I34" s="71"/>
      <c r="J34" s="71"/>
      <c r="K34" s="72"/>
      <c r="L34" s="41"/>
      <c r="M34" s="42"/>
      <c r="N34" s="1"/>
    </row>
    <row r="35" spans="2:14">
      <c r="B35" s="1"/>
      <c r="C35" s="37"/>
      <c r="D35" s="244"/>
      <c r="E35" s="245"/>
      <c r="F35" s="245"/>
      <c r="G35" s="245"/>
      <c r="H35" s="245"/>
      <c r="I35" s="245"/>
      <c r="J35" s="245"/>
      <c r="K35" s="246"/>
      <c r="L35" s="41"/>
      <c r="M35" s="42" t="str">
        <f t="shared" si="0"/>
        <v/>
      </c>
      <c r="N35" s="1"/>
    </row>
    <row r="36" spans="2:14">
      <c r="B36" s="1"/>
      <c r="C36" s="37"/>
      <c r="D36" s="70"/>
      <c r="E36" s="71"/>
      <c r="F36" s="71"/>
      <c r="G36" s="71"/>
      <c r="H36" s="71"/>
      <c r="I36" s="71"/>
      <c r="J36" s="71"/>
      <c r="K36" s="72"/>
      <c r="L36" s="41"/>
      <c r="M36" s="42"/>
      <c r="N36" s="1"/>
    </row>
    <row r="37" spans="2:14">
      <c r="B37" s="1"/>
      <c r="C37" s="37"/>
      <c r="D37" s="70"/>
      <c r="E37" s="71"/>
      <c r="F37" s="71"/>
      <c r="G37" s="71"/>
      <c r="H37" s="71"/>
      <c r="I37" s="71"/>
      <c r="J37" s="71"/>
      <c r="K37" s="72"/>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70"/>
      <c r="E40" s="71"/>
      <c r="F40" s="71"/>
      <c r="G40" s="71"/>
      <c r="H40" s="71"/>
      <c r="I40" s="71"/>
      <c r="J40" s="71"/>
      <c r="K40" s="72"/>
      <c r="L40" s="41"/>
      <c r="M40" s="42"/>
      <c r="N40" s="1"/>
    </row>
    <row r="41" spans="2:14">
      <c r="B41" s="1"/>
      <c r="C41" s="37"/>
      <c r="D41" s="244"/>
      <c r="E41" s="245"/>
      <c r="F41" s="245"/>
      <c r="G41" s="245"/>
      <c r="H41" s="245"/>
      <c r="I41" s="245"/>
      <c r="J41" s="245"/>
      <c r="K41" s="246"/>
      <c r="L41" s="41"/>
      <c r="M41" s="42" t="str">
        <f t="shared" si="0"/>
        <v/>
      </c>
      <c r="N41" s="1"/>
    </row>
    <row r="42" spans="2:14">
      <c r="B42" s="1"/>
      <c r="C42" s="37"/>
      <c r="D42" s="70"/>
      <c r="E42" s="71"/>
      <c r="F42" s="71"/>
      <c r="G42" s="71"/>
      <c r="H42" s="71"/>
      <c r="I42" s="71"/>
      <c r="J42" s="71"/>
      <c r="K42" s="72"/>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70"/>
      <c r="E44" s="71"/>
      <c r="F44" s="71"/>
      <c r="G44" s="71"/>
      <c r="H44" s="71"/>
      <c r="I44" s="71"/>
      <c r="J44" s="71"/>
      <c r="K44" s="72"/>
      <c r="L44" s="41"/>
      <c r="M44" s="42"/>
      <c r="N44" s="1"/>
    </row>
    <row r="45" spans="2:14">
      <c r="B45" s="1"/>
      <c r="C45" s="37"/>
      <c r="D45" s="244"/>
      <c r="E45" s="250"/>
      <c r="F45" s="250"/>
      <c r="G45" s="250"/>
      <c r="H45" s="250"/>
      <c r="I45" s="250"/>
      <c r="J45" s="250"/>
      <c r="K45" s="246"/>
      <c r="L45" s="41"/>
      <c r="M45" s="42" t="str">
        <f t="shared" si="0"/>
        <v/>
      </c>
      <c r="N45" s="1"/>
    </row>
    <row r="46" spans="2:14">
      <c r="B46" s="1"/>
      <c r="C46" s="37"/>
      <c r="D46" s="70"/>
      <c r="E46" s="74"/>
      <c r="F46" s="74"/>
      <c r="G46" s="74"/>
      <c r="H46" s="74"/>
      <c r="I46" s="74"/>
      <c r="J46" s="74"/>
      <c r="K46" s="72"/>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200</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200</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C63:M63"/>
    <mergeCell ref="D64:L66"/>
    <mergeCell ref="D43:K43"/>
    <mergeCell ref="D45:K45"/>
    <mergeCell ref="D47:K47"/>
    <mergeCell ref="D51:G56"/>
    <mergeCell ref="J54:M56"/>
    <mergeCell ref="C58:M61"/>
    <mergeCell ref="D41:K41"/>
    <mergeCell ref="D21:K21"/>
    <mergeCell ref="D22:K22"/>
    <mergeCell ref="D24:K24"/>
    <mergeCell ref="D26:K26"/>
    <mergeCell ref="D27:K27"/>
    <mergeCell ref="D30:K30"/>
    <mergeCell ref="D31:K31"/>
    <mergeCell ref="D32:K32"/>
    <mergeCell ref="D35:K35"/>
    <mergeCell ref="D38:K38"/>
    <mergeCell ref="D39:K39"/>
    <mergeCell ref="H3:K6"/>
    <mergeCell ref="D14:H14"/>
    <mergeCell ref="D16:H16"/>
    <mergeCell ref="D18:K18"/>
    <mergeCell ref="D19:K19"/>
  </mergeCells>
  <dataValidations count="9">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5796A422-2487-4986-9AE6-F7DD5D73A558}"/>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149AD267-D12E-4065-9565-CE129198F0A0}"/>
    <dataValidation errorStyle="warning" allowBlank="1" showInputMessage="1" errorTitle="State" promptTitle="State" prompt="Enter the state abbreviation into this cell." sqref="F15" xr:uid="{0386D1B7-85C5-4CA8-BEC1-F6DFEB7DD10D}"/>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77684CFA-36B1-4334-93C7-E983779C6719}"/>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68E570A0-5BC7-4995-B373-8E8A85545BE2}"/>
    <dataValidation allowBlank="1" showInputMessage="1" showErrorMessage="1" promptTitle="Tax Rate" prompt="To add a tax here, or to change the percentage associated with this tax, enter the tax rate in the cell to the left.  The tax rate will then be automatically calculated." sqref="L51 K50" xr:uid="{0E7E936B-481F-48FE-93B7-F8CA024C766F}"/>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B849846B-33A2-44E6-9A5C-EA49CEE376DC}"/>
    <dataValidation type="whole" errorStyle="warning" allowBlank="1" showErrorMessage="1" errorTitle="Quantity" error="You must enter a number in this cell." promptTitle="Quantity" sqref="C19:C47" xr:uid="{17321C7C-265C-4CB0-91DF-9DA398806DB9}">
      <formula1>0</formula1>
      <formula2>1000000000</formula2>
    </dataValidation>
    <dataValidation type="decimal" allowBlank="1" showErrorMessage="1" errorTitle="Unit Price" error="You must enter a number into this cell." promptTitle="Unit Price" sqref="L19:L47" xr:uid="{245D0286-C385-4986-A520-AC4489A87F30}">
      <formula1>0</formula1>
      <formula2>1000000000</formula2>
    </dataValidation>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B5365-D782-4DBE-945A-201A488D2F8F}">
  <sheetPr>
    <pageSetUpPr fitToPage="1"/>
  </sheetPr>
  <dimension ref="A2:N66"/>
  <sheetViews>
    <sheetView workbookViewId="0">
      <selection activeCell="M3" sqref="M3"/>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35</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79" t="s">
        <v>36</v>
      </c>
      <c r="E13" s="79"/>
      <c r="F13" s="79"/>
      <c r="G13" s="79"/>
      <c r="H13" s="79"/>
      <c r="I13" s="21"/>
      <c r="J13" s="1"/>
      <c r="K13" s="1"/>
      <c r="L13" s="5" t="s">
        <v>1</v>
      </c>
      <c r="M13" s="50">
        <f>DATE(2025,10,23)</f>
        <v>45953</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80" t="s">
        <v>8</v>
      </c>
      <c r="D18" s="254" t="s">
        <v>9</v>
      </c>
      <c r="E18" s="255"/>
      <c r="F18" s="255"/>
      <c r="G18" s="255"/>
      <c r="H18" s="255"/>
      <c r="I18" s="255"/>
      <c r="J18" s="255"/>
      <c r="K18" s="256"/>
      <c r="L18" s="80" t="s">
        <v>10</v>
      </c>
      <c r="M18" s="10" t="s">
        <v>11</v>
      </c>
      <c r="N18" s="1"/>
    </row>
    <row r="19" spans="2:14">
      <c r="B19" s="1"/>
      <c r="C19" s="36">
        <v>2</v>
      </c>
      <c r="D19" s="244" t="s">
        <v>31</v>
      </c>
      <c r="E19" s="245"/>
      <c r="F19" s="245"/>
      <c r="G19" s="245"/>
      <c r="H19" s="245"/>
      <c r="I19" s="245"/>
      <c r="J19" s="245"/>
      <c r="K19" s="246"/>
      <c r="L19" s="43">
        <v>100</v>
      </c>
      <c r="M19" s="45">
        <f>IF(L19&lt;&gt;"",ROUND(L19*C19,2),"")</f>
        <v>200</v>
      </c>
      <c r="N19" s="1"/>
    </row>
    <row r="20" spans="2:14">
      <c r="B20" s="1"/>
      <c r="C20" s="37"/>
      <c r="D20" s="61"/>
      <c r="E20" s="78"/>
      <c r="F20" s="78"/>
      <c r="G20" s="78"/>
      <c r="H20" s="78"/>
      <c r="I20" s="78"/>
      <c r="J20" s="78"/>
      <c r="K20" s="77"/>
      <c r="L20" s="41"/>
      <c r="M20" s="42"/>
      <c r="N20" s="1"/>
    </row>
    <row r="21" spans="2:14">
      <c r="B21" s="1"/>
      <c r="C21" s="37"/>
      <c r="D21" s="260"/>
      <c r="E21" s="261"/>
      <c r="F21" s="261"/>
      <c r="G21" s="261"/>
      <c r="H21" s="261"/>
      <c r="I21" s="261"/>
      <c r="J21" s="261"/>
      <c r="K21" s="262"/>
      <c r="L21" s="41"/>
      <c r="M21" s="42" t="str">
        <f t="shared" ref="M21:M45" si="0">IF(L21&lt;&gt;"",ROUND(L21*C21,2),"")</f>
        <v/>
      </c>
      <c r="N21" s="1"/>
    </row>
    <row r="22" spans="2:14">
      <c r="B22" s="1"/>
      <c r="C22" s="37"/>
      <c r="D22" s="244"/>
      <c r="E22" s="245"/>
      <c r="F22" s="245"/>
      <c r="G22" s="245"/>
      <c r="H22" s="245"/>
      <c r="I22" s="245"/>
      <c r="J22" s="245"/>
      <c r="K22" s="246"/>
      <c r="L22" s="41"/>
      <c r="M22" s="42" t="str">
        <f t="shared" si="0"/>
        <v/>
      </c>
      <c r="N22" s="1"/>
    </row>
    <row r="23" spans="2:14">
      <c r="B23" s="1"/>
      <c r="C23" s="37"/>
      <c r="D23" s="75"/>
      <c r="E23" s="76"/>
      <c r="F23" s="76"/>
      <c r="G23" s="76"/>
      <c r="H23" s="76"/>
      <c r="I23" s="76"/>
      <c r="J23" s="76"/>
      <c r="K23" s="77"/>
      <c r="L23" s="41"/>
      <c r="M23" s="42"/>
      <c r="N23" s="1"/>
    </row>
    <row r="24" spans="2:14">
      <c r="B24" s="1"/>
      <c r="C24" s="37"/>
      <c r="D24" s="244"/>
      <c r="E24" s="245"/>
      <c r="F24" s="245"/>
      <c r="G24" s="245"/>
      <c r="H24" s="245"/>
      <c r="I24" s="245"/>
      <c r="J24" s="245"/>
      <c r="K24" s="246"/>
      <c r="L24" s="41"/>
      <c r="M24" s="42" t="str">
        <f t="shared" si="0"/>
        <v/>
      </c>
      <c r="N24" s="1"/>
    </row>
    <row r="25" spans="2:14">
      <c r="B25" s="1"/>
      <c r="C25" s="37"/>
      <c r="D25" s="75"/>
      <c r="E25" s="76"/>
      <c r="F25" s="76"/>
      <c r="G25" s="76"/>
      <c r="H25" s="76"/>
      <c r="I25" s="76"/>
      <c r="J25" s="76"/>
      <c r="K25" s="77"/>
      <c r="L25" s="41"/>
      <c r="M25" s="42"/>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75"/>
      <c r="E28" s="76"/>
      <c r="F28" s="76"/>
      <c r="G28" s="76"/>
      <c r="H28" s="76"/>
      <c r="I28" s="76"/>
      <c r="J28" s="76"/>
      <c r="K28" s="77"/>
      <c r="L28" s="41"/>
      <c r="M28" s="42"/>
      <c r="N28" s="1"/>
    </row>
    <row r="29" spans="2:14">
      <c r="B29" s="1"/>
      <c r="C29" s="37"/>
      <c r="D29" s="75"/>
      <c r="E29" s="76"/>
      <c r="F29" s="76"/>
      <c r="G29" s="76"/>
      <c r="H29" s="76"/>
      <c r="I29" s="76"/>
      <c r="J29" s="76"/>
      <c r="K29" s="77"/>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75"/>
      <c r="E33" s="76"/>
      <c r="F33" s="76"/>
      <c r="G33" s="76"/>
      <c r="H33" s="76"/>
      <c r="I33" s="76"/>
      <c r="J33" s="76"/>
      <c r="K33" s="77"/>
      <c r="L33" s="41"/>
      <c r="M33" s="42"/>
      <c r="N33" s="1"/>
    </row>
    <row r="34" spans="2:14">
      <c r="B34" s="1"/>
      <c r="C34" s="37"/>
      <c r="D34" s="75"/>
      <c r="E34" s="76"/>
      <c r="F34" s="76"/>
      <c r="G34" s="76"/>
      <c r="H34" s="76"/>
      <c r="I34" s="76"/>
      <c r="J34" s="76"/>
      <c r="K34" s="77"/>
      <c r="L34" s="41"/>
      <c r="M34" s="42"/>
      <c r="N34" s="1"/>
    </row>
    <row r="35" spans="2:14">
      <c r="B35" s="1"/>
      <c r="C35" s="37"/>
      <c r="D35" s="244"/>
      <c r="E35" s="245"/>
      <c r="F35" s="245"/>
      <c r="G35" s="245"/>
      <c r="H35" s="245"/>
      <c r="I35" s="245"/>
      <c r="J35" s="245"/>
      <c r="K35" s="246"/>
      <c r="L35" s="41"/>
      <c r="M35" s="42" t="str">
        <f t="shared" si="0"/>
        <v/>
      </c>
      <c r="N35" s="1"/>
    </row>
    <row r="36" spans="2:14">
      <c r="B36" s="1"/>
      <c r="C36" s="37"/>
      <c r="D36" s="75"/>
      <c r="E36" s="76"/>
      <c r="F36" s="76"/>
      <c r="G36" s="76"/>
      <c r="H36" s="76"/>
      <c r="I36" s="76"/>
      <c r="J36" s="76"/>
      <c r="K36" s="77"/>
      <c r="L36" s="41"/>
      <c r="M36" s="42"/>
      <c r="N36" s="1"/>
    </row>
    <row r="37" spans="2:14">
      <c r="B37" s="1"/>
      <c r="C37" s="37"/>
      <c r="D37" s="75"/>
      <c r="E37" s="76"/>
      <c r="F37" s="76"/>
      <c r="G37" s="76"/>
      <c r="H37" s="76"/>
      <c r="I37" s="76"/>
      <c r="J37" s="76"/>
      <c r="K37" s="77"/>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75"/>
      <c r="E40" s="76"/>
      <c r="F40" s="76"/>
      <c r="G40" s="76"/>
      <c r="H40" s="76"/>
      <c r="I40" s="76"/>
      <c r="J40" s="76"/>
      <c r="K40" s="77"/>
      <c r="L40" s="41"/>
      <c r="M40" s="42"/>
      <c r="N40" s="1"/>
    </row>
    <row r="41" spans="2:14">
      <c r="B41" s="1"/>
      <c r="C41" s="37"/>
      <c r="D41" s="244"/>
      <c r="E41" s="245"/>
      <c r="F41" s="245"/>
      <c r="G41" s="245"/>
      <c r="H41" s="245"/>
      <c r="I41" s="245"/>
      <c r="J41" s="245"/>
      <c r="K41" s="246"/>
      <c r="L41" s="41"/>
      <c r="M41" s="42" t="str">
        <f t="shared" si="0"/>
        <v/>
      </c>
      <c r="N41" s="1"/>
    </row>
    <row r="42" spans="2:14">
      <c r="B42" s="1"/>
      <c r="C42" s="37"/>
      <c r="D42" s="75"/>
      <c r="E42" s="76"/>
      <c r="F42" s="76"/>
      <c r="G42" s="76"/>
      <c r="H42" s="76"/>
      <c r="I42" s="76"/>
      <c r="J42" s="76"/>
      <c r="K42" s="77"/>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75"/>
      <c r="E44" s="76"/>
      <c r="F44" s="76"/>
      <c r="G44" s="76"/>
      <c r="H44" s="76"/>
      <c r="I44" s="76"/>
      <c r="J44" s="76"/>
      <c r="K44" s="77"/>
      <c r="L44" s="41"/>
      <c r="M44" s="42"/>
      <c r="N44" s="1"/>
    </row>
    <row r="45" spans="2:14">
      <c r="B45" s="1"/>
      <c r="C45" s="37"/>
      <c r="D45" s="244"/>
      <c r="E45" s="250"/>
      <c r="F45" s="250"/>
      <c r="G45" s="250"/>
      <c r="H45" s="250"/>
      <c r="I45" s="250"/>
      <c r="J45" s="250"/>
      <c r="K45" s="246"/>
      <c r="L45" s="41"/>
      <c r="M45" s="42" t="str">
        <f t="shared" si="0"/>
        <v/>
      </c>
      <c r="N45" s="1"/>
    </row>
    <row r="46" spans="2:14">
      <c r="B46" s="1"/>
      <c r="C46" s="37"/>
      <c r="D46" s="75"/>
      <c r="E46" s="78"/>
      <c r="F46" s="78"/>
      <c r="G46" s="78"/>
      <c r="H46" s="78"/>
      <c r="I46" s="78"/>
      <c r="J46" s="78"/>
      <c r="K46" s="77"/>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200</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200</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21:K21"/>
    <mergeCell ref="H3:K6"/>
    <mergeCell ref="D14:H14"/>
    <mergeCell ref="D16:H16"/>
    <mergeCell ref="D18:K18"/>
    <mergeCell ref="D19:K19"/>
    <mergeCell ref="D43:K43"/>
    <mergeCell ref="D22:K22"/>
    <mergeCell ref="D24:K24"/>
    <mergeCell ref="D26:K26"/>
    <mergeCell ref="D27:K27"/>
    <mergeCell ref="D30:K30"/>
    <mergeCell ref="D31:K31"/>
    <mergeCell ref="D32:K32"/>
    <mergeCell ref="D35:K35"/>
    <mergeCell ref="D38:K38"/>
    <mergeCell ref="D39:K39"/>
    <mergeCell ref="D41:K41"/>
    <mergeCell ref="D64:L66"/>
    <mergeCell ref="D45:K45"/>
    <mergeCell ref="D47:K47"/>
    <mergeCell ref="D51:G56"/>
    <mergeCell ref="J54:M56"/>
    <mergeCell ref="C58:M61"/>
    <mergeCell ref="C63:M63"/>
  </mergeCells>
  <dataValidations count="9">
    <dataValidation type="decimal" allowBlank="1" showErrorMessage="1" errorTitle="Unit Price" error="You must enter a number into this cell." promptTitle="Unit Price" sqref="L19:L47" xr:uid="{2A5590C8-9D6B-4E3B-AD54-7BE9DFBB486A}">
      <formula1>0</formula1>
      <formula2>1000000000</formula2>
    </dataValidation>
    <dataValidation type="whole" errorStyle="warning" allowBlank="1" showErrorMessage="1" errorTitle="Quantity" error="You must enter a number in this cell." promptTitle="Quantity" sqref="C19:C47" xr:uid="{F23136FE-C9B7-43F3-82FF-2A53882F21E9}">
      <formula1>0</formula1>
      <formula2>1000000000</formula2>
    </dataValidation>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3565F6A0-3981-4EE1-B558-9D317ED7FCF4}"/>
    <dataValidation allowBlank="1" showInputMessage="1" showErrorMessage="1" promptTitle="Tax Rate" prompt="To add a tax here, or to change the percentage associated with this tax, enter the tax rate in the cell to the left.  The tax rate will then be automatically calculated." sqref="L51 K50" xr:uid="{266BD065-64E3-42D7-A08F-C6CDABCBB967}"/>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6D44190F-A4D2-4AD4-A4B3-7B038CC03D4B}"/>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120A85BB-D05C-4370-B75A-C1C0B8E230AC}"/>
    <dataValidation errorStyle="warning" allowBlank="1" showInputMessage="1" errorTitle="State" promptTitle="State" prompt="Enter the state abbreviation into this cell." sqref="F15" xr:uid="{6DC4DAE8-442D-43F3-8C83-07CC4DB9792E}"/>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EE8AA6B4-52B4-4F77-BB0E-5A82A0B92174}"/>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53BA377A-A034-4C49-9768-20291EB962F3}"/>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ignoredErrors>
    <ignoredError sqref="M13"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4D249-B400-4E40-B91F-D5FAA4DB60D2}">
  <sheetPr>
    <pageSetUpPr fitToPage="1"/>
  </sheetPr>
  <dimension ref="A2:N66"/>
  <sheetViews>
    <sheetView workbookViewId="0">
      <selection activeCell="D21" sqref="D21:K21"/>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39</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81" t="s">
        <v>36</v>
      </c>
      <c r="E13" s="81"/>
      <c r="F13" s="81"/>
      <c r="G13" s="81"/>
      <c r="H13" s="81"/>
      <c r="I13" s="21"/>
      <c r="J13" s="1"/>
      <c r="K13" s="1"/>
      <c r="L13" s="5" t="s">
        <v>1</v>
      </c>
      <c r="M13" s="50">
        <f>DATE(2025,11,7)</f>
        <v>45968</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85" t="s">
        <v>8</v>
      </c>
      <c r="D18" s="254" t="s">
        <v>9</v>
      </c>
      <c r="E18" s="255"/>
      <c r="F18" s="255"/>
      <c r="G18" s="255"/>
      <c r="H18" s="255"/>
      <c r="I18" s="255"/>
      <c r="J18" s="255"/>
      <c r="K18" s="256"/>
      <c r="L18" s="85" t="s">
        <v>10</v>
      </c>
      <c r="M18" s="10" t="s">
        <v>11</v>
      </c>
      <c r="N18" s="1"/>
    </row>
    <row r="19" spans="2:14">
      <c r="B19" s="1"/>
      <c r="C19" s="36">
        <v>3</v>
      </c>
      <c r="D19" s="244" t="s">
        <v>31</v>
      </c>
      <c r="E19" s="245"/>
      <c r="F19" s="245"/>
      <c r="G19" s="245"/>
      <c r="H19" s="245"/>
      <c r="I19" s="245"/>
      <c r="J19" s="245"/>
      <c r="K19" s="246"/>
      <c r="L19" s="43">
        <v>100</v>
      </c>
      <c r="M19" s="45">
        <f>IF(L19&lt;&gt;"",ROUND(L19*C19,2),"")</f>
        <v>300</v>
      </c>
      <c r="N19" s="1"/>
    </row>
    <row r="20" spans="2:14">
      <c r="B20" s="1"/>
      <c r="C20" s="37"/>
      <c r="D20" s="61"/>
      <c r="E20" s="86"/>
      <c r="F20" s="86"/>
      <c r="G20" s="86"/>
      <c r="H20" s="86"/>
      <c r="I20" s="86"/>
      <c r="J20" s="86"/>
      <c r="K20" s="84"/>
      <c r="L20" s="41"/>
      <c r="M20" s="42"/>
      <c r="N20" s="1"/>
    </row>
    <row r="21" spans="2:14">
      <c r="B21" s="1"/>
      <c r="C21" s="37">
        <v>2</v>
      </c>
      <c r="D21" s="263" t="s">
        <v>40</v>
      </c>
      <c r="E21" s="264"/>
      <c r="F21" s="264"/>
      <c r="G21" s="264"/>
      <c r="H21" s="264"/>
      <c r="I21" s="264"/>
      <c r="J21" s="264"/>
      <c r="K21" s="265"/>
      <c r="L21" s="41">
        <v>100</v>
      </c>
      <c r="M21" s="42">
        <f t="shared" ref="M21:M45" si="0">IF(L21&lt;&gt;"",ROUND(L21*C21,2),"")</f>
        <v>200</v>
      </c>
      <c r="N21" s="1"/>
    </row>
    <row r="22" spans="2:14">
      <c r="B22" s="1"/>
      <c r="C22" s="37"/>
      <c r="D22" s="244"/>
      <c r="E22" s="245"/>
      <c r="F22" s="245"/>
      <c r="G22" s="245"/>
      <c r="H22" s="245"/>
      <c r="I22" s="245"/>
      <c r="J22" s="245"/>
      <c r="K22" s="246"/>
      <c r="L22" s="41"/>
      <c r="M22" s="42" t="str">
        <f t="shared" si="0"/>
        <v/>
      </c>
      <c r="N22" s="1"/>
    </row>
    <row r="23" spans="2:14">
      <c r="B23" s="1"/>
      <c r="C23" s="37"/>
      <c r="D23" s="82"/>
      <c r="E23" s="83"/>
      <c r="F23" s="83"/>
      <c r="G23" s="83"/>
      <c r="H23" s="83"/>
      <c r="I23" s="83"/>
      <c r="J23" s="83"/>
      <c r="K23" s="84"/>
      <c r="L23" s="41"/>
      <c r="M23" s="42"/>
      <c r="N23" s="1"/>
    </row>
    <row r="24" spans="2:14">
      <c r="B24" s="1"/>
      <c r="C24" s="37"/>
      <c r="D24" s="244"/>
      <c r="E24" s="245"/>
      <c r="F24" s="245"/>
      <c r="G24" s="245"/>
      <c r="H24" s="245"/>
      <c r="I24" s="245"/>
      <c r="J24" s="245"/>
      <c r="K24" s="246"/>
      <c r="L24" s="41"/>
      <c r="M24" s="42" t="str">
        <f t="shared" si="0"/>
        <v/>
      </c>
      <c r="N24" s="1"/>
    </row>
    <row r="25" spans="2:14">
      <c r="B25" s="1"/>
      <c r="C25" s="37"/>
      <c r="D25" s="82"/>
      <c r="E25" s="83"/>
      <c r="F25" s="83"/>
      <c r="G25" s="83"/>
      <c r="H25" s="83"/>
      <c r="I25" s="83"/>
      <c r="J25" s="83"/>
      <c r="K25" s="84"/>
      <c r="L25" s="41"/>
      <c r="M25" s="42"/>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82"/>
      <c r="E28" s="83"/>
      <c r="F28" s="83"/>
      <c r="G28" s="83"/>
      <c r="H28" s="83"/>
      <c r="I28" s="83"/>
      <c r="J28" s="83"/>
      <c r="K28" s="84"/>
      <c r="L28" s="41"/>
      <c r="M28" s="42"/>
      <c r="N28" s="1"/>
    </row>
    <row r="29" spans="2:14">
      <c r="B29" s="1"/>
      <c r="C29" s="37"/>
      <c r="D29" s="82"/>
      <c r="E29" s="83"/>
      <c r="F29" s="83"/>
      <c r="G29" s="83"/>
      <c r="H29" s="83"/>
      <c r="I29" s="83"/>
      <c r="J29" s="83"/>
      <c r="K29" s="84"/>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82"/>
      <c r="E33" s="83"/>
      <c r="F33" s="83"/>
      <c r="G33" s="83"/>
      <c r="H33" s="83"/>
      <c r="I33" s="83"/>
      <c r="J33" s="83"/>
      <c r="K33" s="84"/>
      <c r="L33" s="41"/>
      <c r="M33" s="42"/>
      <c r="N33" s="1"/>
    </row>
    <row r="34" spans="2:14">
      <c r="B34" s="1"/>
      <c r="C34" s="37"/>
      <c r="D34" s="82"/>
      <c r="E34" s="83"/>
      <c r="F34" s="83"/>
      <c r="G34" s="83"/>
      <c r="H34" s="83"/>
      <c r="I34" s="83"/>
      <c r="J34" s="83"/>
      <c r="K34" s="84"/>
      <c r="L34" s="41"/>
      <c r="M34" s="42"/>
      <c r="N34" s="1"/>
    </row>
    <row r="35" spans="2:14">
      <c r="B35" s="1"/>
      <c r="C35" s="37"/>
      <c r="D35" s="244"/>
      <c r="E35" s="245"/>
      <c r="F35" s="245"/>
      <c r="G35" s="245"/>
      <c r="H35" s="245"/>
      <c r="I35" s="245"/>
      <c r="J35" s="245"/>
      <c r="K35" s="246"/>
      <c r="L35" s="41"/>
      <c r="M35" s="42" t="str">
        <f t="shared" si="0"/>
        <v/>
      </c>
      <c r="N35" s="1"/>
    </row>
    <row r="36" spans="2:14">
      <c r="B36" s="1"/>
      <c r="C36" s="37"/>
      <c r="D36" s="82"/>
      <c r="E36" s="83"/>
      <c r="F36" s="83"/>
      <c r="G36" s="83"/>
      <c r="H36" s="83"/>
      <c r="I36" s="83"/>
      <c r="J36" s="83"/>
      <c r="K36" s="84"/>
      <c r="L36" s="41"/>
      <c r="M36" s="42"/>
      <c r="N36" s="1"/>
    </row>
    <row r="37" spans="2:14">
      <c r="B37" s="1"/>
      <c r="C37" s="37"/>
      <c r="D37" s="82"/>
      <c r="E37" s="83"/>
      <c r="F37" s="83"/>
      <c r="G37" s="83"/>
      <c r="H37" s="83"/>
      <c r="I37" s="83"/>
      <c r="J37" s="83"/>
      <c r="K37" s="84"/>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82"/>
      <c r="E40" s="83"/>
      <c r="F40" s="83"/>
      <c r="G40" s="83"/>
      <c r="H40" s="83"/>
      <c r="I40" s="83"/>
      <c r="J40" s="83"/>
      <c r="K40" s="84"/>
      <c r="L40" s="41"/>
      <c r="M40" s="42"/>
      <c r="N40" s="1"/>
    </row>
    <row r="41" spans="2:14">
      <c r="B41" s="1"/>
      <c r="C41" s="37"/>
      <c r="D41" s="244"/>
      <c r="E41" s="245"/>
      <c r="F41" s="245"/>
      <c r="G41" s="245"/>
      <c r="H41" s="245"/>
      <c r="I41" s="245"/>
      <c r="J41" s="245"/>
      <c r="K41" s="246"/>
      <c r="L41" s="41"/>
      <c r="M41" s="42" t="str">
        <f t="shared" si="0"/>
        <v/>
      </c>
      <c r="N41" s="1"/>
    </row>
    <row r="42" spans="2:14">
      <c r="B42" s="1"/>
      <c r="C42" s="37"/>
      <c r="D42" s="82"/>
      <c r="E42" s="83"/>
      <c r="F42" s="83"/>
      <c r="G42" s="83"/>
      <c r="H42" s="83"/>
      <c r="I42" s="83"/>
      <c r="J42" s="83"/>
      <c r="K42" s="84"/>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82"/>
      <c r="E44" s="83"/>
      <c r="F44" s="83"/>
      <c r="G44" s="83"/>
      <c r="H44" s="83"/>
      <c r="I44" s="83"/>
      <c r="J44" s="83"/>
      <c r="K44" s="84"/>
      <c r="L44" s="41"/>
      <c r="M44" s="42"/>
      <c r="N44" s="1"/>
    </row>
    <row r="45" spans="2:14">
      <c r="B45" s="1"/>
      <c r="C45" s="37"/>
      <c r="D45" s="244"/>
      <c r="E45" s="250"/>
      <c r="F45" s="250"/>
      <c r="G45" s="250"/>
      <c r="H45" s="250"/>
      <c r="I45" s="250"/>
      <c r="J45" s="250"/>
      <c r="K45" s="246"/>
      <c r="L45" s="41"/>
      <c r="M45" s="42" t="str">
        <f t="shared" si="0"/>
        <v/>
      </c>
      <c r="N45" s="1"/>
    </row>
    <row r="46" spans="2:14">
      <c r="B46" s="1"/>
      <c r="C46" s="37"/>
      <c r="D46" s="82"/>
      <c r="E46" s="86"/>
      <c r="F46" s="86"/>
      <c r="G46" s="86"/>
      <c r="H46" s="86"/>
      <c r="I46" s="86"/>
      <c r="J46" s="86"/>
      <c r="K46" s="84"/>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500</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500</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64:L66"/>
    <mergeCell ref="D45:K45"/>
    <mergeCell ref="D47:K47"/>
    <mergeCell ref="D51:G56"/>
    <mergeCell ref="J54:M56"/>
    <mergeCell ref="C58:M61"/>
    <mergeCell ref="C63:M63"/>
    <mergeCell ref="D43:K43"/>
    <mergeCell ref="D22:K22"/>
    <mergeCell ref="D24:K24"/>
    <mergeCell ref="D26:K26"/>
    <mergeCell ref="D27:K27"/>
    <mergeCell ref="D30:K30"/>
    <mergeCell ref="D31:K31"/>
    <mergeCell ref="D32:K32"/>
    <mergeCell ref="D35:K35"/>
    <mergeCell ref="D38:K38"/>
    <mergeCell ref="D39:K39"/>
    <mergeCell ref="D41:K41"/>
    <mergeCell ref="D21:K21"/>
    <mergeCell ref="H3:K6"/>
    <mergeCell ref="D14:H14"/>
    <mergeCell ref="D16:H16"/>
    <mergeCell ref="D18:K18"/>
    <mergeCell ref="D19:K19"/>
  </mergeCells>
  <dataValidations count="9">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C24FD256-EAB6-4034-A983-2A1C8DF741EF}"/>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9BEA8FBA-3FB4-412A-8BB0-77FBD5C0ABDB}"/>
    <dataValidation errorStyle="warning" allowBlank="1" showInputMessage="1" errorTitle="State" promptTitle="State" prompt="Enter the state abbreviation into this cell." sqref="F15" xr:uid="{0511B647-064D-4E56-86D5-AD5AFF96FE40}"/>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419B9AC0-327D-4023-BFC4-EDFA3BF52099}"/>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1A91D4C2-B5C7-4F3F-88B6-EB50FCE73D76}"/>
    <dataValidation allowBlank="1" showInputMessage="1" showErrorMessage="1" promptTitle="Tax Rate" prompt="To add a tax here, or to change the percentage associated with this tax, enter the tax rate in the cell to the left.  The tax rate will then be automatically calculated." sqref="L51 K50" xr:uid="{BCD0C7DB-08C9-4B28-9ECD-4175FDE940F4}"/>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35D891CA-806D-4F34-9EC0-A28BB615B530}"/>
    <dataValidation type="whole" errorStyle="warning" allowBlank="1" showErrorMessage="1" errorTitle="Quantity" error="You must enter a number in this cell." promptTitle="Quantity" sqref="C19:C47" xr:uid="{078A8516-DF24-489C-9A39-96BFE2DE1D10}">
      <formula1>0</formula1>
      <formula2>1000000000</formula2>
    </dataValidation>
    <dataValidation type="decimal" allowBlank="1" showErrorMessage="1" errorTitle="Unit Price" error="You must enter a number into this cell." promptTitle="Unit Price" sqref="L19:L47" xr:uid="{F5B4E1E5-4B8B-49A1-B578-A411A43EE281}">
      <formula1>0</formula1>
      <formula2>1000000000</formula2>
    </dataValidation>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7889E-0A24-43A0-9D39-2C247EB28352}">
  <sheetPr>
    <pageSetUpPr fitToPage="1"/>
  </sheetPr>
  <dimension ref="A2:N66"/>
  <sheetViews>
    <sheetView topLeftCell="A21" workbookViewId="0">
      <selection activeCell="M19" sqref="M19"/>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41</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91" t="s">
        <v>36</v>
      </c>
      <c r="E13" s="91"/>
      <c r="F13" s="91"/>
      <c r="G13" s="91"/>
      <c r="H13" s="91"/>
      <c r="I13" s="21"/>
      <c r="J13" s="1"/>
      <c r="K13" s="1"/>
      <c r="L13" s="5" t="s">
        <v>1</v>
      </c>
      <c r="M13" s="50">
        <v>45974</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92" t="s">
        <v>8</v>
      </c>
      <c r="D18" s="254" t="s">
        <v>9</v>
      </c>
      <c r="E18" s="255"/>
      <c r="F18" s="255"/>
      <c r="G18" s="255"/>
      <c r="H18" s="255"/>
      <c r="I18" s="255"/>
      <c r="J18" s="255"/>
      <c r="K18" s="256"/>
      <c r="L18" s="92" t="s">
        <v>10</v>
      </c>
      <c r="M18" s="10" t="s">
        <v>11</v>
      </c>
      <c r="N18" s="1"/>
    </row>
    <row r="19" spans="2:14">
      <c r="B19" s="1"/>
      <c r="C19" s="36">
        <v>7</v>
      </c>
      <c r="D19" s="244" t="s">
        <v>43</v>
      </c>
      <c r="E19" s="245"/>
      <c r="F19" s="245"/>
      <c r="G19" s="245"/>
      <c r="H19" s="245"/>
      <c r="I19" s="245"/>
      <c r="J19" s="245"/>
      <c r="K19" s="246"/>
      <c r="L19" s="43">
        <v>70</v>
      </c>
      <c r="M19" s="45">
        <f>IF(L19&lt;&gt;"",ROUND(L19*C19,2),"")</f>
        <v>490</v>
      </c>
      <c r="N19" s="1"/>
    </row>
    <row r="20" spans="2:14">
      <c r="B20" s="1"/>
      <c r="C20" s="37"/>
      <c r="D20" s="61"/>
      <c r="E20" s="90"/>
      <c r="F20" s="90"/>
      <c r="G20" s="90"/>
      <c r="H20" s="90"/>
      <c r="I20" s="90"/>
      <c r="J20" s="90"/>
      <c r="K20" s="89"/>
      <c r="L20" s="41"/>
      <c r="M20" s="42"/>
      <c r="N20" s="1"/>
    </row>
    <row r="21" spans="2:14">
      <c r="B21" s="1"/>
      <c r="C21" s="37">
        <v>12</v>
      </c>
      <c r="D21" s="263" t="s">
        <v>42</v>
      </c>
      <c r="E21" s="264"/>
      <c r="F21" s="264"/>
      <c r="G21" s="264"/>
      <c r="H21" s="264"/>
      <c r="I21" s="264"/>
      <c r="J21" s="264"/>
      <c r="K21" s="265"/>
      <c r="L21" s="41">
        <v>15</v>
      </c>
      <c r="M21" s="42">
        <f t="shared" ref="M21:M45" si="0">IF(L21&lt;&gt;"",ROUND(L21*C21,2),"")</f>
        <v>180</v>
      </c>
      <c r="N21" s="1"/>
    </row>
    <row r="22" spans="2:14">
      <c r="B22" s="1"/>
      <c r="C22" s="37"/>
      <c r="D22" s="244"/>
      <c r="E22" s="245"/>
      <c r="F22" s="245"/>
      <c r="G22" s="245"/>
      <c r="H22" s="245"/>
      <c r="I22" s="245"/>
      <c r="J22" s="245"/>
      <c r="K22" s="246"/>
      <c r="L22" s="41"/>
      <c r="M22" s="42" t="str">
        <f t="shared" si="0"/>
        <v/>
      </c>
      <c r="N22" s="1"/>
    </row>
    <row r="23" spans="2:14">
      <c r="B23" s="1"/>
      <c r="C23" s="37"/>
      <c r="D23" s="87"/>
      <c r="E23" s="88"/>
      <c r="F23" s="88"/>
      <c r="G23" s="88"/>
      <c r="H23" s="88"/>
      <c r="I23" s="88"/>
      <c r="J23" s="88"/>
      <c r="K23" s="89"/>
      <c r="L23" s="41"/>
      <c r="M23" s="42"/>
      <c r="N23" s="1"/>
    </row>
    <row r="24" spans="2:14">
      <c r="B24" s="1"/>
      <c r="C24" s="37"/>
      <c r="D24" s="244"/>
      <c r="E24" s="245"/>
      <c r="F24" s="245"/>
      <c r="G24" s="245"/>
      <c r="H24" s="245"/>
      <c r="I24" s="245"/>
      <c r="J24" s="245"/>
      <c r="K24" s="246"/>
      <c r="L24" s="41"/>
      <c r="M24" s="42" t="str">
        <f t="shared" si="0"/>
        <v/>
      </c>
      <c r="N24" s="1"/>
    </row>
    <row r="25" spans="2:14">
      <c r="B25" s="1"/>
      <c r="C25" s="37"/>
      <c r="D25" s="87"/>
      <c r="E25" s="88"/>
      <c r="F25" s="88"/>
      <c r="G25" s="88"/>
      <c r="H25" s="88"/>
      <c r="I25" s="88"/>
      <c r="J25" s="88"/>
      <c r="K25" s="89"/>
      <c r="L25" s="41"/>
      <c r="M25" s="42"/>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87"/>
      <c r="E28" s="88"/>
      <c r="F28" s="88"/>
      <c r="G28" s="88"/>
      <c r="H28" s="88"/>
      <c r="I28" s="88"/>
      <c r="J28" s="88"/>
      <c r="K28" s="89"/>
      <c r="L28" s="41"/>
      <c r="M28" s="42"/>
      <c r="N28" s="1"/>
    </row>
    <row r="29" spans="2:14">
      <c r="B29" s="1"/>
      <c r="C29" s="37"/>
      <c r="D29" s="87"/>
      <c r="E29" s="88"/>
      <c r="F29" s="88"/>
      <c r="G29" s="88"/>
      <c r="H29" s="88"/>
      <c r="I29" s="88"/>
      <c r="J29" s="88"/>
      <c r="K29" s="89"/>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87"/>
      <c r="E33" s="88"/>
      <c r="F33" s="88"/>
      <c r="G33" s="88"/>
      <c r="H33" s="88"/>
      <c r="I33" s="88"/>
      <c r="J33" s="88"/>
      <c r="K33" s="89"/>
      <c r="L33" s="41"/>
      <c r="M33" s="42"/>
      <c r="N33" s="1"/>
    </row>
    <row r="34" spans="2:14">
      <c r="B34" s="1"/>
      <c r="C34" s="37"/>
      <c r="D34" s="87"/>
      <c r="E34" s="88"/>
      <c r="F34" s="88"/>
      <c r="G34" s="88"/>
      <c r="H34" s="88"/>
      <c r="I34" s="88"/>
      <c r="J34" s="88"/>
      <c r="K34" s="89"/>
      <c r="L34" s="41"/>
      <c r="M34" s="42"/>
      <c r="N34" s="1"/>
    </row>
    <row r="35" spans="2:14">
      <c r="B35" s="1"/>
      <c r="C35" s="37"/>
      <c r="D35" s="244"/>
      <c r="E35" s="245"/>
      <c r="F35" s="245"/>
      <c r="G35" s="245"/>
      <c r="H35" s="245"/>
      <c r="I35" s="245"/>
      <c r="J35" s="245"/>
      <c r="K35" s="246"/>
      <c r="L35" s="41"/>
      <c r="M35" s="42" t="str">
        <f t="shared" si="0"/>
        <v/>
      </c>
      <c r="N35" s="1"/>
    </row>
    <row r="36" spans="2:14">
      <c r="B36" s="1"/>
      <c r="C36" s="37"/>
      <c r="D36" s="87"/>
      <c r="E36" s="88"/>
      <c r="F36" s="88"/>
      <c r="G36" s="88"/>
      <c r="H36" s="88"/>
      <c r="I36" s="88"/>
      <c r="J36" s="88"/>
      <c r="K36" s="89"/>
      <c r="L36" s="41"/>
      <c r="M36" s="42"/>
      <c r="N36" s="1"/>
    </row>
    <row r="37" spans="2:14">
      <c r="B37" s="1"/>
      <c r="C37" s="37"/>
      <c r="D37" s="87"/>
      <c r="E37" s="88"/>
      <c r="F37" s="88"/>
      <c r="G37" s="88"/>
      <c r="H37" s="88"/>
      <c r="I37" s="88"/>
      <c r="J37" s="88"/>
      <c r="K37" s="89"/>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87"/>
      <c r="E40" s="88"/>
      <c r="F40" s="88"/>
      <c r="G40" s="88"/>
      <c r="H40" s="88"/>
      <c r="I40" s="88"/>
      <c r="J40" s="88"/>
      <c r="K40" s="89"/>
      <c r="L40" s="41"/>
      <c r="M40" s="42"/>
      <c r="N40" s="1"/>
    </row>
    <row r="41" spans="2:14">
      <c r="B41" s="1"/>
      <c r="C41" s="37"/>
      <c r="D41" s="244"/>
      <c r="E41" s="245"/>
      <c r="F41" s="245"/>
      <c r="G41" s="245"/>
      <c r="H41" s="245"/>
      <c r="I41" s="245"/>
      <c r="J41" s="245"/>
      <c r="K41" s="246"/>
      <c r="L41" s="41"/>
      <c r="M41" s="42" t="str">
        <f t="shared" si="0"/>
        <v/>
      </c>
      <c r="N41" s="1"/>
    </row>
    <row r="42" spans="2:14">
      <c r="B42" s="1"/>
      <c r="C42" s="37"/>
      <c r="D42" s="87"/>
      <c r="E42" s="88"/>
      <c r="F42" s="88"/>
      <c r="G42" s="88"/>
      <c r="H42" s="88"/>
      <c r="I42" s="88"/>
      <c r="J42" s="88"/>
      <c r="K42" s="89"/>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87"/>
      <c r="E44" s="88"/>
      <c r="F44" s="88"/>
      <c r="G44" s="88"/>
      <c r="H44" s="88"/>
      <c r="I44" s="88"/>
      <c r="J44" s="88"/>
      <c r="K44" s="89"/>
      <c r="L44" s="41"/>
      <c r="M44" s="42"/>
      <c r="N44" s="1"/>
    </row>
    <row r="45" spans="2:14">
      <c r="B45" s="1"/>
      <c r="C45" s="37"/>
      <c r="D45" s="244"/>
      <c r="E45" s="250"/>
      <c r="F45" s="250"/>
      <c r="G45" s="250"/>
      <c r="H45" s="250"/>
      <c r="I45" s="250"/>
      <c r="J45" s="250"/>
      <c r="K45" s="246"/>
      <c r="L45" s="41"/>
      <c r="M45" s="42" t="str">
        <f t="shared" si="0"/>
        <v/>
      </c>
      <c r="N45" s="1"/>
    </row>
    <row r="46" spans="2:14">
      <c r="B46" s="1"/>
      <c r="C46" s="37"/>
      <c r="D46" s="87"/>
      <c r="E46" s="90"/>
      <c r="F46" s="90"/>
      <c r="G46" s="90"/>
      <c r="H46" s="90"/>
      <c r="I46" s="90"/>
      <c r="J46" s="90"/>
      <c r="K46" s="89"/>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670</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670</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21:K21"/>
    <mergeCell ref="H3:K6"/>
    <mergeCell ref="D14:H14"/>
    <mergeCell ref="D16:H16"/>
    <mergeCell ref="D18:K18"/>
    <mergeCell ref="D19:K19"/>
    <mergeCell ref="D43:K43"/>
    <mergeCell ref="D22:K22"/>
    <mergeCell ref="D24:K24"/>
    <mergeCell ref="D26:K26"/>
    <mergeCell ref="D27:K27"/>
    <mergeCell ref="D30:K30"/>
    <mergeCell ref="D31:K31"/>
    <mergeCell ref="D32:K32"/>
    <mergeCell ref="D35:K35"/>
    <mergeCell ref="D38:K38"/>
    <mergeCell ref="D39:K39"/>
    <mergeCell ref="D41:K41"/>
    <mergeCell ref="D64:L66"/>
    <mergeCell ref="D45:K45"/>
    <mergeCell ref="D47:K47"/>
    <mergeCell ref="D51:G56"/>
    <mergeCell ref="J54:M56"/>
    <mergeCell ref="C58:M61"/>
    <mergeCell ref="C63:M63"/>
  </mergeCells>
  <dataValidations count="9">
    <dataValidation type="decimal" allowBlank="1" showErrorMessage="1" errorTitle="Unit Price" error="You must enter a number into this cell." promptTitle="Unit Price" sqref="L19:L47" xr:uid="{EDE1279D-75E7-4117-8C69-95035D491526}">
      <formula1>0</formula1>
      <formula2>1000000000</formula2>
    </dataValidation>
    <dataValidation type="whole" errorStyle="warning" allowBlank="1" showErrorMessage="1" errorTitle="Quantity" error="You must enter a number in this cell." promptTitle="Quantity" sqref="C19:C47" xr:uid="{54224FA6-3993-4A19-8464-E06F247E6CEF}">
      <formula1>0</formula1>
      <formula2>1000000000</formula2>
    </dataValidation>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42FD1D41-D567-4F61-8CD8-190F2FA7C1AD}"/>
    <dataValidation allowBlank="1" showInputMessage="1" showErrorMessage="1" promptTitle="Tax Rate" prompt="To add a tax here, or to change the percentage associated with this tax, enter the tax rate in the cell to the left.  The tax rate will then be automatically calculated." sqref="L51 K50" xr:uid="{89126245-5C8D-4367-96DD-E573E39A80A4}"/>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251AB023-1064-41F3-BAFD-56A4C88EC0FD}"/>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1827B7EC-416D-4F81-9619-4F11B9C481BD}"/>
    <dataValidation errorStyle="warning" allowBlank="1" showInputMessage="1" errorTitle="State" promptTitle="State" prompt="Enter the state abbreviation into this cell." sqref="F15" xr:uid="{92561DD7-2ECF-45F0-94E5-BB1F0AF098D3}"/>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227DE188-1C78-439B-AB1F-367D56B2D803}"/>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23CAA229-1315-4BDA-BA2A-19F52F1D3FF6}"/>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446D5-5EC9-402E-B072-8EA14062493F}">
  <sheetPr>
    <pageSetUpPr fitToPage="1"/>
  </sheetPr>
  <dimension ref="A2:N66"/>
  <sheetViews>
    <sheetView topLeftCell="A21" workbookViewId="0">
      <selection activeCell="M27" sqref="M27"/>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44</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93" t="s">
        <v>36</v>
      </c>
      <c r="E13" s="93"/>
      <c r="F13" s="93"/>
      <c r="G13" s="93"/>
      <c r="H13" s="93"/>
      <c r="I13" s="21"/>
      <c r="J13" s="1"/>
      <c r="K13" s="1"/>
      <c r="L13" s="5" t="s">
        <v>1</v>
      </c>
      <c r="M13" s="50">
        <v>45974</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97" t="s">
        <v>8</v>
      </c>
      <c r="D18" s="254" t="s">
        <v>9</v>
      </c>
      <c r="E18" s="255"/>
      <c r="F18" s="255"/>
      <c r="G18" s="255"/>
      <c r="H18" s="255"/>
      <c r="I18" s="255"/>
      <c r="J18" s="255"/>
      <c r="K18" s="256"/>
      <c r="L18" s="97" t="s">
        <v>10</v>
      </c>
      <c r="M18" s="10" t="s">
        <v>11</v>
      </c>
      <c r="N18" s="1"/>
    </row>
    <row r="19" spans="2:14">
      <c r="B19" s="1"/>
      <c r="C19" s="36">
        <v>2</v>
      </c>
      <c r="D19" s="244" t="s">
        <v>45</v>
      </c>
      <c r="E19" s="245"/>
      <c r="F19" s="245"/>
      <c r="G19" s="245"/>
      <c r="H19" s="245"/>
      <c r="I19" s="245"/>
      <c r="J19" s="245"/>
      <c r="K19" s="246"/>
      <c r="L19" s="43">
        <v>250</v>
      </c>
      <c r="M19" s="45">
        <f>IF(L19&lt;&gt;"",ROUND(L19*C19,2),"")</f>
        <v>500</v>
      </c>
      <c r="N19" s="1"/>
    </row>
    <row r="20" spans="2:14">
      <c r="B20" s="1"/>
      <c r="C20" s="37"/>
      <c r="D20" s="61"/>
      <c r="E20" s="98"/>
      <c r="F20" s="98"/>
      <c r="G20" s="98"/>
      <c r="H20" s="98"/>
      <c r="I20" s="98"/>
      <c r="J20" s="98"/>
      <c r="K20" s="96"/>
      <c r="L20" s="41"/>
      <c r="M20" s="42"/>
      <c r="N20" s="1"/>
    </row>
    <row r="21" spans="2:14">
      <c r="B21" s="1"/>
      <c r="C21" s="37">
        <v>24</v>
      </c>
      <c r="D21" s="263" t="s">
        <v>46</v>
      </c>
      <c r="E21" s="264"/>
      <c r="F21" s="264"/>
      <c r="G21" s="264"/>
      <c r="H21" s="264"/>
      <c r="I21" s="264"/>
      <c r="J21" s="264"/>
      <c r="K21" s="265"/>
      <c r="L21" s="41">
        <v>10</v>
      </c>
      <c r="M21" s="42">
        <f t="shared" ref="M21:M45" si="0">IF(L21&lt;&gt;"",ROUND(L21*C21,2),"")</f>
        <v>240</v>
      </c>
      <c r="N21" s="1"/>
    </row>
    <row r="22" spans="2:14">
      <c r="B22" s="1"/>
      <c r="C22" s="37"/>
      <c r="D22" s="244"/>
      <c r="E22" s="245"/>
      <c r="F22" s="245"/>
      <c r="G22" s="245"/>
      <c r="H22" s="245"/>
      <c r="I22" s="245"/>
      <c r="J22" s="245"/>
      <c r="K22" s="246"/>
      <c r="L22" s="41"/>
      <c r="M22" s="42" t="str">
        <f t="shared" si="0"/>
        <v/>
      </c>
      <c r="N22" s="1"/>
    </row>
    <row r="23" spans="2:14">
      <c r="B23" s="1"/>
      <c r="C23" s="37">
        <v>24</v>
      </c>
      <c r="D23" s="94" t="s">
        <v>47</v>
      </c>
      <c r="E23" s="95"/>
      <c r="F23" s="95"/>
      <c r="G23" s="95"/>
      <c r="H23" s="95"/>
      <c r="I23" s="95"/>
      <c r="J23" s="95"/>
      <c r="K23" s="96"/>
      <c r="L23" s="41">
        <v>12</v>
      </c>
      <c r="M23" s="42">
        <f t="shared" si="0"/>
        <v>288</v>
      </c>
      <c r="N23" s="1"/>
    </row>
    <row r="24" spans="2:14">
      <c r="B24" s="1"/>
      <c r="C24" s="37"/>
      <c r="D24" s="244"/>
      <c r="E24" s="245"/>
      <c r="F24" s="245"/>
      <c r="G24" s="245"/>
      <c r="H24" s="245"/>
      <c r="I24" s="245"/>
      <c r="J24" s="245"/>
      <c r="K24" s="246"/>
      <c r="L24" s="41"/>
      <c r="M24" s="42" t="str">
        <f t="shared" si="0"/>
        <v/>
      </c>
      <c r="N24" s="1"/>
    </row>
    <row r="25" spans="2:14">
      <c r="B25" s="1"/>
      <c r="C25" s="37">
        <v>12</v>
      </c>
      <c r="D25" s="94" t="s">
        <v>48</v>
      </c>
      <c r="E25" s="95"/>
      <c r="F25" s="95"/>
      <c r="G25" s="95"/>
      <c r="H25" s="95"/>
      <c r="I25" s="95"/>
      <c r="J25" s="95"/>
      <c r="K25" s="96"/>
      <c r="L25" s="41">
        <v>10</v>
      </c>
      <c r="M25" s="42">
        <f t="shared" si="0"/>
        <v>120</v>
      </c>
      <c r="N25" s="1"/>
    </row>
    <row r="26" spans="2:14">
      <c r="B26" s="1"/>
      <c r="C26" s="37"/>
      <c r="D26" s="244"/>
      <c r="E26" s="245"/>
      <c r="F26" s="245"/>
      <c r="G26" s="245"/>
      <c r="H26" s="245"/>
      <c r="I26" s="245"/>
      <c r="J26" s="245"/>
      <c r="K26" s="246"/>
      <c r="L26" s="41"/>
      <c r="M26" s="42" t="str">
        <f t="shared" si="0"/>
        <v/>
      </c>
      <c r="N26" s="1"/>
    </row>
    <row r="27" spans="2:14">
      <c r="B27" s="1"/>
      <c r="C27" s="37">
        <v>24</v>
      </c>
      <c r="D27" s="244" t="s">
        <v>49</v>
      </c>
      <c r="E27" s="245"/>
      <c r="F27" s="245"/>
      <c r="G27" s="245"/>
      <c r="H27" s="245"/>
      <c r="I27" s="245"/>
      <c r="J27" s="245"/>
      <c r="K27" s="246"/>
      <c r="L27" s="41">
        <v>15</v>
      </c>
      <c r="M27" s="42">
        <f t="shared" si="0"/>
        <v>360</v>
      </c>
      <c r="N27" s="1"/>
    </row>
    <row r="28" spans="2:14">
      <c r="B28" s="1"/>
      <c r="C28" s="37"/>
      <c r="D28" s="94"/>
      <c r="E28" s="95"/>
      <c r="F28" s="95"/>
      <c r="G28" s="95"/>
      <c r="H28" s="95"/>
      <c r="I28" s="95"/>
      <c r="J28" s="95"/>
      <c r="K28" s="96"/>
      <c r="L28" s="41"/>
      <c r="M28" s="42"/>
      <c r="N28" s="1"/>
    </row>
    <row r="29" spans="2:14">
      <c r="B29" s="1"/>
      <c r="C29" s="37"/>
      <c r="D29" s="94"/>
      <c r="E29" s="95"/>
      <c r="F29" s="95"/>
      <c r="G29" s="95"/>
      <c r="H29" s="95"/>
      <c r="I29" s="95"/>
      <c r="J29" s="95"/>
      <c r="K29" s="96"/>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94"/>
      <c r="E33" s="95"/>
      <c r="F33" s="95"/>
      <c r="G33" s="95"/>
      <c r="H33" s="95"/>
      <c r="I33" s="95"/>
      <c r="J33" s="95"/>
      <c r="K33" s="96"/>
      <c r="L33" s="41"/>
      <c r="M33" s="42"/>
      <c r="N33" s="1"/>
    </row>
    <row r="34" spans="2:14">
      <c r="B34" s="1"/>
      <c r="C34" s="37"/>
      <c r="D34" s="94"/>
      <c r="E34" s="95"/>
      <c r="F34" s="95"/>
      <c r="G34" s="95"/>
      <c r="H34" s="95"/>
      <c r="I34" s="95"/>
      <c r="J34" s="95"/>
      <c r="K34" s="96"/>
      <c r="L34" s="41"/>
      <c r="M34" s="42"/>
      <c r="N34" s="1"/>
    </row>
    <row r="35" spans="2:14">
      <c r="B35" s="1"/>
      <c r="C35" s="37"/>
      <c r="D35" s="244"/>
      <c r="E35" s="245"/>
      <c r="F35" s="245"/>
      <c r="G35" s="245"/>
      <c r="H35" s="245"/>
      <c r="I35" s="245"/>
      <c r="J35" s="245"/>
      <c r="K35" s="246"/>
      <c r="L35" s="41"/>
      <c r="M35" s="42" t="str">
        <f t="shared" si="0"/>
        <v/>
      </c>
      <c r="N35" s="1"/>
    </row>
    <row r="36" spans="2:14">
      <c r="B36" s="1"/>
      <c r="C36" s="37"/>
      <c r="D36" s="94"/>
      <c r="E36" s="95"/>
      <c r="F36" s="95"/>
      <c r="G36" s="95"/>
      <c r="H36" s="95"/>
      <c r="I36" s="95"/>
      <c r="J36" s="95"/>
      <c r="K36" s="96"/>
      <c r="L36" s="41"/>
      <c r="M36" s="42"/>
      <c r="N36" s="1"/>
    </row>
    <row r="37" spans="2:14">
      <c r="B37" s="1"/>
      <c r="C37" s="37"/>
      <c r="D37" s="94"/>
      <c r="E37" s="95"/>
      <c r="F37" s="95"/>
      <c r="G37" s="95"/>
      <c r="H37" s="95"/>
      <c r="I37" s="95"/>
      <c r="J37" s="95"/>
      <c r="K37" s="96"/>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94"/>
      <c r="E40" s="95"/>
      <c r="F40" s="95"/>
      <c r="G40" s="95"/>
      <c r="H40" s="95"/>
      <c r="I40" s="95"/>
      <c r="J40" s="95"/>
      <c r="K40" s="96"/>
      <c r="L40" s="41"/>
      <c r="M40" s="42"/>
      <c r="N40" s="1"/>
    </row>
    <row r="41" spans="2:14">
      <c r="B41" s="1"/>
      <c r="C41" s="37"/>
      <c r="D41" s="244"/>
      <c r="E41" s="245"/>
      <c r="F41" s="245"/>
      <c r="G41" s="245"/>
      <c r="H41" s="245"/>
      <c r="I41" s="245"/>
      <c r="J41" s="245"/>
      <c r="K41" s="246"/>
      <c r="L41" s="41"/>
      <c r="M41" s="42" t="str">
        <f t="shared" si="0"/>
        <v/>
      </c>
      <c r="N41" s="1"/>
    </row>
    <row r="42" spans="2:14">
      <c r="B42" s="1"/>
      <c r="C42" s="37"/>
      <c r="D42" s="94"/>
      <c r="E42" s="95"/>
      <c r="F42" s="95"/>
      <c r="G42" s="95"/>
      <c r="H42" s="95"/>
      <c r="I42" s="95"/>
      <c r="J42" s="95"/>
      <c r="K42" s="96"/>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94"/>
      <c r="E44" s="95"/>
      <c r="F44" s="95"/>
      <c r="G44" s="95"/>
      <c r="H44" s="95"/>
      <c r="I44" s="95"/>
      <c r="J44" s="95"/>
      <c r="K44" s="96"/>
      <c r="L44" s="41"/>
      <c r="M44" s="42"/>
      <c r="N44" s="1"/>
    </row>
    <row r="45" spans="2:14">
      <c r="B45" s="1"/>
      <c r="C45" s="37"/>
      <c r="D45" s="244"/>
      <c r="E45" s="250"/>
      <c r="F45" s="250"/>
      <c r="G45" s="250"/>
      <c r="H45" s="250"/>
      <c r="I45" s="250"/>
      <c r="J45" s="250"/>
      <c r="K45" s="246"/>
      <c r="L45" s="41"/>
      <c r="M45" s="42" t="str">
        <f t="shared" si="0"/>
        <v/>
      </c>
      <c r="N45" s="1"/>
    </row>
    <row r="46" spans="2:14">
      <c r="B46" s="1"/>
      <c r="C46" s="37"/>
      <c r="D46" s="94"/>
      <c r="E46" s="98"/>
      <c r="F46" s="98"/>
      <c r="G46" s="98"/>
      <c r="H46" s="98"/>
      <c r="I46" s="98"/>
      <c r="J46" s="98"/>
      <c r="K46" s="96"/>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1508</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1508</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64:L66"/>
    <mergeCell ref="D45:K45"/>
    <mergeCell ref="D47:K47"/>
    <mergeCell ref="D51:G56"/>
    <mergeCell ref="J54:M56"/>
    <mergeCell ref="C58:M61"/>
    <mergeCell ref="C63:M63"/>
    <mergeCell ref="D43:K43"/>
    <mergeCell ref="D22:K22"/>
    <mergeCell ref="D24:K24"/>
    <mergeCell ref="D26:K26"/>
    <mergeCell ref="D27:K27"/>
    <mergeCell ref="D30:K30"/>
    <mergeCell ref="D31:K31"/>
    <mergeCell ref="D32:K32"/>
    <mergeCell ref="D35:K35"/>
    <mergeCell ref="D38:K38"/>
    <mergeCell ref="D39:K39"/>
    <mergeCell ref="D41:K41"/>
    <mergeCell ref="D21:K21"/>
    <mergeCell ref="H3:K6"/>
    <mergeCell ref="D14:H14"/>
    <mergeCell ref="D16:H16"/>
    <mergeCell ref="D18:K18"/>
    <mergeCell ref="D19:K19"/>
  </mergeCells>
  <dataValidations count="9">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844CF580-756C-4D87-A4E4-85F59E86968D}"/>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93C46363-5433-4658-B2D2-65B6E78A920D}"/>
    <dataValidation errorStyle="warning" allowBlank="1" showInputMessage="1" errorTitle="State" promptTitle="State" prompt="Enter the state abbreviation into this cell." sqref="F15" xr:uid="{B807AD90-403B-4FB4-A93D-6C06B88727DA}"/>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651CE088-7DA9-4D54-A9DA-A2B3CFF92414}"/>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CF817913-8AFB-4101-AD4C-CE19D95D6368}"/>
    <dataValidation allowBlank="1" showInputMessage="1" showErrorMessage="1" promptTitle="Tax Rate" prompt="To add a tax here, or to change the percentage associated with this tax, enter the tax rate in the cell to the left.  The tax rate will then be automatically calculated." sqref="L51 K50" xr:uid="{85AB6C29-1B1C-4450-8B99-352A2F5E4BD0}"/>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A09FA3EB-AF8A-487B-86D0-69C455BBA9EC}"/>
    <dataValidation type="whole" errorStyle="warning" allowBlank="1" showErrorMessage="1" errorTitle="Quantity" error="You must enter a number in this cell." promptTitle="Quantity" sqref="C19:C47" xr:uid="{D3D5D1D9-CFDB-441C-8E26-C516D45E2834}">
      <formula1>0</formula1>
      <formula2>1000000000</formula2>
    </dataValidation>
    <dataValidation type="decimal" allowBlank="1" showErrorMessage="1" errorTitle="Unit Price" error="You must enter a number into this cell." promptTitle="Unit Price" sqref="L19:L47" xr:uid="{D6A1A45E-5CA1-46F9-AABB-09257D90687C}">
      <formula1>0</formula1>
      <formula2>1000000000</formula2>
    </dataValidation>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3FA15-58CE-4F86-B9DF-2C88A6F368CE}">
  <sheetPr>
    <pageSetUpPr fitToPage="1"/>
  </sheetPr>
  <dimension ref="A2:N66"/>
  <sheetViews>
    <sheetView topLeftCell="A30" workbookViewId="0">
      <selection activeCell="L27" sqref="L27"/>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50</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103" t="s">
        <v>36</v>
      </c>
      <c r="E13" s="103"/>
      <c r="F13" s="103"/>
      <c r="G13" s="103"/>
      <c r="H13" s="103"/>
      <c r="I13" s="21"/>
      <c r="J13" s="1"/>
      <c r="K13" s="1"/>
      <c r="L13" s="5" t="s">
        <v>1</v>
      </c>
      <c r="M13" s="50">
        <v>46003</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104" t="s">
        <v>8</v>
      </c>
      <c r="D18" s="254" t="s">
        <v>9</v>
      </c>
      <c r="E18" s="255"/>
      <c r="F18" s="255"/>
      <c r="G18" s="255"/>
      <c r="H18" s="255"/>
      <c r="I18" s="255"/>
      <c r="J18" s="255"/>
      <c r="K18" s="256"/>
      <c r="L18" s="104" t="s">
        <v>10</v>
      </c>
      <c r="M18" s="10" t="s">
        <v>11</v>
      </c>
      <c r="N18" s="1"/>
    </row>
    <row r="19" spans="2:14">
      <c r="B19" s="1"/>
      <c r="C19" s="36">
        <v>24</v>
      </c>
      <c r="D19" s="244" t="s">
        <v>51</v>
      </c>
      <c r="E19" s="245"/>
      <c r="F19" s="245"/>
      <c r="G19" s="245"/>
      <c r="H19" s="245"/>
      <c r="I19" s="245"/>
      <c r="J19" s="245"/>
      <c r="K19" s="246"/>
      <c r="L19" s="43">
        <v>10</v>
      </c>
      <c r="M19" s="45">
        <f>IF(L19&lt;&gt;"",ROUND(L19*C19,2),"")</f>
        <v>240</v>
      </c>
      <c r="N19" s="1"/>
    </row>
    <row r="20" spans="2:14">
      <c r="B20" s="1"/>
      <c r="C20" s="37"/>
      <c r="D20" s="61"/>
      <c r="E20" s="102"/>
      <c r="F20" s="102"/>
      <c r="G20" s="102"/>
      <c r="H20" s="102"/>
      <c r="I20" s="102"/>
      <c r="J20" s="102"/>
      <c r="K20" s="101"/>
      <c r="L20" s="41"/>
      <c r="M20" s="42"/>
      <c r="N20" s="1"/>
    </row>
    <row r="21" spans="2:14">
      <c r="B21" s="1"/>
      <c r="C21" s="37">
        <v>24</v>
      </c>
      <c r="D21" s="263" t="s">
        <v>52</v>
      </c>
      <c r="E21" s="264"/>
      <c r="F21" s="264"/>
      <c r="G21" s="264"/>
      <c r="H21" s="264"/>
      <c r="I21" s="264"/>
      <c r="J21" s="264"/>
      <c r="K21" s="265"/>
      <c r="L21" s="41">
        <v>10</v>
      </c>
      <c r="M21" s="42">
        <f t="shared" ref="M21:M45" si="0">IF(L21&lt;&gt;"",ROUND(L21*C21,2),"")</f>
        <v>240</v>
      </c>
      <c r="N21" s="1"/>
    </row>
    <row r="22" spans="2:14">
      <c r="B22" s="1"/>
      <c r="C22" s="37"/>
      <c r="D22" s="244"/>
      <c r="E22" s="245"/>
      <c r="F22" s="245"/>
      <c r="G22" s="245"/>
      <c r="H22" s="245"/>
      <c r="I22" s="245"/>
      <c r="J22" s="245"/>
      <c r="K22" s="246"/>
      <c r="L22" s="41"/>
      <c r="M22" s="42" t="str">
        <f t="shared" si="0"/>
        <v/>
      </c>
      <c r="N22" s="1"/>
    </row>
    <row r="23" spans="2:14">
      <c r="B23" s="1"/>
      <c r="C23" s="37">
        <v>12</v>
      </c>
      <c r="D23" s="99" t="s">
        <v>53</v>
      </c>
      <c r="E23" s="100"/>
      <c r="F23" s="100"/>
      <c r="G23" s="100"/>
      <c r="H23" s="100"/>
      <c r="I23" s="100"/>
      <c r="J23" s="100"/>
      <c r="K23" s="101"/>
      <c r="L23" s="41">
        <v>15</v>
      </c>
      <c r="M23" s="42">
        <f t="shared" si="0"/>
        <v>180</v>
      </c>
      <c r="N23" s="1"/>
    </row>
    <row r="24" spans="2:14">
      <c r="B24" s="1"/>
      <c r="C24" s="37"/>
      <c r="D24" s="244"/>
      <c r="E24" s="245"/>
      <c r="F24" s="245"/>
      <c r="G24" s="245"/>
      <c r="H24" s="245"/>
      <c r="I24" s="245"/>
      <c r="J24" s="245"/>
      <c r="K24" s="246"/>
      <c r="L24" s="41"/>
      <c r="M24" s="42" t="str">
        <f t="shared" si="0"/>
        <v/>
      </c>
      <c r="N24" s="1"/>
    </row>
    <row r="25" spans="2:14">
      <c r="B25" s="1"/>
      <c r="C25" s="37"/>
      <c r="D25" s="99"/>
      <c r="E25" s="100"/>
      <c r="F25" s="100"/>
      <c r="G25" s="100"/>
      <c r="H25" s="100"/>
      <c r="I25" s="100"/>
      <c r="J25" s="100"/>
      <c r="K25" s="101"/>
      <c r="L25" s="41"/>
      <c r="M25" s="42" t="str">
        <f t="shared" si="0"/>
        <v/>
      </c>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99"/>
      <c r="E28" s="100"/>
      <c r="F28" s="100"/>
      <c r="G28" s="100"/>
      <c r="H28" s="100"/>
      <c r="I28" s="100"/>
      <c r="J28" s="100"/>
      <c r="K28" s="101"/>
      <c r="L28" s="41"/>
      <c r="M28" s="42"/>
      <c r="N28" s="1"/>
    </row>
    <row r="29" spans="2:14">
      <c r="B29" s="1"/>
      <c r="C29" s="37"/>
      <c r="D29" s="99"/>
      <c r="E29" s="100"/>
      <c r="F29" s="100"/>
      <c r="G29" s="100"/>
      <c r="H29" s="100"/>
      <c r="I29" s="100"/>
      <c r="J29" s="100"/>
      <c r="K29" s="101"/>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99"/>
      <c r="E33" s="100"/>
      <c r="F33" s="100"/>
      <c r="G33" s="100"/>
      <c r="H33" s="100"/>
      <c r="I33" s="100"/>
      <c r="J33" s="100"/>
      <c r="K33" s="101"/>
      <c r="L33" s="41"/>
      <c r="M33" s="42"/>
      <c r="N33" s="1"/>
    </row>
    <row r="34" spans="2:14">
      <c r="B34" s="1"/>
      <c r="C34" s="37"/>
      <c r="D34" s="99"/>
      <c r="E34" s="100"/>
      <c r="F34" s="100"/>
      <c r="G34" s="100"/>
      <c r="H34" s="100"/>
      <c r="I34" s="100"/>
      <c r="J34" s="100"/>
      <c r="K34" s="101"/>
      <c r="L34" s="41"/>
      <c r="M34" s="42"/>
      <c r="N34" s="1"/>
    </row>
    <row r="35" spans="2:14">
      <c r="B35" s="1"/>
      <c r="C35" s="37"/>
      <c r="D35" s="244"/>
      <c r="E35" s="245"/>
      <c r="F35" s="245"/>
      <c r="G35" s="245"/>
      <c r="H35" s="245"/>
      <c r="I35" s="245"/>
      <c r="J35" s="245"/>
      <c r="K35" s="246"/>
      <c r="L35" s="41"/>
      <c r="M35" s="42" t="str">
        <f t="shared" si="0"/>
        <v/>
      </c>
      <c r="N35" s="1"/>
    </row>
    <row r="36" spans="2:14">
      <c r="B36" s="1"/>
      <c r="C36" s="37"/>
      <c r="D36" s="99"/>
      <c r="E36" s="100"/>
      <c r="F36" s="100"/>
      <c r="G36" s="100"/>
      <c r="H36" s="100"/>
      <c r="I36" s="100"/>
      <c r="J36" s="100"/>
      <c r="K36" s="101"/>
      <c r="L36" s="41"/>
      <c r="M36" s="42"/>
      <c r="N36" s="1"/>
    </row>
    <row r="37" spans="2:14">
      <c r="B37" s="1"/>
      <c r="C37" s="37"/>
      <c r="D37" s="99"/>
      <c r="E37" s="100"/>
      <c r="F37" s="100"/>
      <c r="G37" s="100"/>
      <c r="H37" s="100"/>
      <c r="I37" s="100"/>
      <c r="J37" s="100"/>
      <c r="K37" s="101"/>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99"/>
      <c r="E40" s="100"/>
      <c r="F40" s="100"/>
      <c r="G40" s="100"/>
      <c r="H40" s="100"/>
      <c r="I40" s="100"/>
      <c r="J40" s="100"/>
      <c r="K40" s="101"/>
      <c r="L40" s="41"/>
      <c r="M40" s="42"/>
      <c r="N40" s="1"/>
    </row>
    <row r="41" spans="2:14">
      <c r="B41" s="1"/>
      <c r="C41" s="37"/>
      <c r="D41" s="244"/>
      <c r="E41" s="245"/>
      <c r="F41" s="245"/>
      <c r="G41" s="245"/>
      <c r="H41" s="245"/>
      <c r="I41" s="245"/>
      <c r="J41" s="245"/>
      <c r="K41" s="246"/>
      <c r="L41" s="41"/>
      <c r="M41" s="42" t="str">
        <f t="shared" si="0"/>
        <v/>
      </c>
      <c r="N41" s="1"/>
    </row>
    <row r="42" spans="2:14">
      <c r="B42" s="1"/>
      <c r="C42" s="37"/>
      <c r="D42" s="99"/>
      <c r="E42" s="100"/>
      <c r="F42" s="100"/>
      <c r="G42" s="100"/>
      <c r="H42" s="100"/>
      <c r="I42" s="100"/>
      <c r="J42" s="100"/>
      <c r="K42" s="101"/>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99"/>
      <c r="E44" s="100"/>
      <c r="F44" s="100"/>
      <c r="G44" s="100"/>
      <c r="H44" s="100"/>
      <c r="I44" s="100"/>
      <c r="J44" s="100"/>
      <c r="K44" s="101"/>
      <c r="L44" s="41"/>
      <c r="M44" s="42"/>
      <c r="N44" s="1"/>
    </row>
    <row r="45" spans="2:14">
      <c r="B45" s="1"/>
      <c r="C45" s="37"/>
      <c r="D45" s="244"/>
      <c r="E45" s="250"/>
      <c r="F45" s="250"/>
      <c r="G45" s="250"/>
      <c r="H45" s="250"/>
      <c r="I45" s="250"/>
      <c r="J45" s="250"/>
      <c r="K45" s="246"/>
      <c r="L45" s="41"/>
      <c r="M45" s="42" t="str">
        <f t="shared" si="0"/>
        <v/>
      </c>
      <c r="N45" s="1"/>
    </row>
    <row r="46" spans="2:14">
      <c r="B46" s="1"/>
      <c r="C46" s="37"/>
      <c r="D46" s="99"/>
      <c r="E46" s="102"/>
      <c r="F46" s="102"/>
      <c r="G46" s="102"/>
      <c r="H46" s="102"/>
      <c r="I46" s="102"/>
      <c r="J46" s="102"/>
      <c r="K46" s="101"/>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660</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660</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21:K21"/>
    <mergeCell ref="H3:K6"/>
    <mergeCell ref="D14:H14"/>
    <mergeCell ref="D16:H16"/>
    <mergeCell ref="D18:K18"/>
    <mergeCell ref="D19:K19"/>
    <mergeCell ref="D43:K43"/>
    <mergeCell ref="D22:K22"/>
    <mergeCell ref="D24:K24"/>
    <mergeCell ref="D26:K26"/>
    <mergeCell ref="D27:K27"/>
    <mergeCell ref="D30:K30"/>
    <mergeCell ref="D31:K31"/>
    <mergeCell ref="D32:K32"/>
    <mergeCell ref="D35:K35"/>
    <mergeCell ref="D38:K38"/>
    <mergeCell ref="D39:K39"/>
    <mergeCell ref="D41:K41"/>
    <mergeCell ref="D64:L66"/>
    <mergeCell ref="D45:K45"/>
    <mergeCell ref="D47:K47"/>
    <mergeCell ref="D51:G56"/>
    <mergeCell ref="J54:M56"/>
    <mergeCell ref="C58:M61"/>
    <mergeCell ref="C63:M63"/>
  </mergeCells>
  <dataValidations count="9">
    <dataValidation type="decimal" allowBlank="1" showErrorMessage="1" errorTitle="Unit Price" error="You must enter a number into this cell." promptTitle="Unit Price" sqref="L19:L47" xr:uid="{F4CB0377-EEB8-4710-BBAC-AC5FF13B3D31}">
      <formula1>0</formula1>
      <formula2>1000000000</formula2>
    </dataValidation>
    <dataValidation type="whole" errorStyle="warning" allowBlank="1" showErrorMessage="1" errorTitle="Quantity" error="You must enter a number in this cell." promptTitle="Quantity" sqref="C19:C47" xr:uid="{AE1A3B39-F684-4D6B-80DC-DE0F16D56D83}">
      <formula1>0</formula1>
      <formula2>1000000000</formula2>
    </dataValidation>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5A42106D-81F6-4BC1-9624-D2EB066E65A4}"/>
    <dataValidation allowBlank="1" showInputMessage="1" showErrorMessage="1" promptTitle="Tax Rate" prompt="To add a tax here, or to change the percentage associated with this tax, enter the tax rate in the cell to the left.  The tax rate will then be automatically calculated." sqref="L51 K50" xr:uid="{36088588-BCD1-4DC9-9AF6-0CDF80932CC1}"/>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7BBA069B-0600-4FEB-A741-E6E540EC1BE3}"/>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8EDA69BB-7221-4B7F-A8F6-D756F8950479}"/>
    <dataValidation errorStyle="warning" allowBlank="1" showInputMessage="1" errorTitle="State" promptTitle="State" prompt="Enter the state abbreviation into this cell." sqref="F15" xr:uid="{C4C2D450-9FDC-4C91-93F4-AFCA373E719E}"/>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2A37067A-8835-48A0-9EA1-3C3768EBDCEE}"/>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60F92CA6-F0EB-4619-BC47-8DE9BF3EAF4E}"/>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81A6-B97C-449B-8B74-E8C1294013F0}">
  <sheetPr>
    <pageSetUpPr fitToPage="1"/>
  </sheetPr>
  <dimension ref="A2:N66"/>
  <sheetViews>
    <sheetView workbookViewId="0">
      <selection activeCell="D13" sqref="D13"/>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54</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105" t="s">
        <v>36</v>
      </c>
      <c r="E13" s="105"/>
      <c r="F13" s="105"/>
      <c r="G13" s="105"/>
      <c r="H13" s="105"/>
      <c r="I13" s="21"/>
      <c r="J13" s="1"/>
      <c r="K13" s="1"/>
      <c r="L13" s="5" t="s">
        <v>1</v>
      </c>
      <c r="M13" s="50">
        <v>46009</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109" t="s">
        <v>8</v>
      </c>
      <c r="D18" s="254" t="s">
        <v>9</v>
      </c>
      <c r="E18" s="255"/>
      <c r="F18" s="255"/>
      <c r="G18" s="255"/>
      <c r="H18" s="255"/>
      <c r="I18" s="255"/>
      <c r="J18" s="255"/>
      <c r="K18" s="256"/>
      <c r="L18" s="109" t="s">
        <v>10</v>
      </c>
      <c r="M18" s="10" t="s">
        <v>11</v>
      </c>
      <c r="N18" s="1"/>
    </row>
    <row r="19" spans="2:14">
      <c r="B19" s="1"/>
      <c r="C19" s="36">
        <v>24</v>
      </c>
      <c r="D19" s="244" t="s">
        <v>51</v>
      </c>
      <c r="E19" s="245"/>
      <c r="F19" s="245"/>
      <c r="G19" s="245"/>
      <c r="H19" s="245"/>
      <c r="I19" s="245"/>
      <c r="J19" s="245"/>
      <c r="K19" s="246"/>
      <c r="L19" s="43">
        <v>8.34</v>
      </c>
      <c r="M19" s="45">
        <v>200</v>
      </c>
      <c r="N19" s="1"/>
    </row>
    <row r="20" spans="2:14">
      <c r="B20" s="1"/>
      <c r="C20" s="37"/>
      <c r="D20" s="61"/>
      <c r="E20" s="110"/>
      <c r="F20" s="110"/>
      <c r="G20" s="110"/>
      <c r="H20" s="110"/>
      <c r="I20" s="110"/>
      <c r="J20" s="110"/>
      <c r="K20" s="108"/>
      <c r="L20" s="41"/>
      <c r="M20" s="42"/>
      <c r="N20" s="1"/>
    </row>
    <row r="21" spans="2:14">
      <c r="B21" s="1"/>
      <c r="C21" s="37">
        <v>48</v>
      </c>
      <c r="D21" s="263" t="s">
        <v>52</v>
      </c>
      <c r="E21" s="264"/>
      <c r="F21" s="264"/>
      <c r="G21" s="264"/>
      <c r="H21" s="264"/>
      <c r="I21" s="264"/>
      <c r="J21" s="264"/>
      <c r="K21" s="265"/>
      <c r="L21" s="41">
        <v>6</v>
      </c>
      <c r="M21" s="42">
        <f t="shared" ref="M21:M45" si="0">IF(L21&lt;&gt;"",ROUND(L21*C21,2),"")</f>
        <v>288</v>
      </c>
      <c r="N21" s="1"/>
    </row>
    <row r="22" spans="2:14">
      <c r="B22" s="1"/>
      <c r="C22" s="37"/>
      <c r="D22" s="244"/>
      <c r="E22" s="245"/>
      <c r="F22" s="245"/>
      <c r="G22" s="245"/>
      <c r="H22" s="245"/>
      <c r="I22" s="245"/>
      <c r="J22" s="245"/>
      <c r="K22" s="246"/>
      <c r="L22" s="41"/>
      <c r="M22" s="42" t="str">
        <f t="shared" si="0"/>
        <v/>
      </c>
      <c r="N22" s="1"/>
    </row>
    <row r="23" spans="2:14">
      <c r="B23" s="1"/>
      <c r="C23" s="37">
        <v>12</v>
      </c>
      <c r="D23" s="106" t="s">
        <v>53</v>
      </c>
      <c r="E23" s="107"/>
      <c r="F23" s="107"/>
      <c r="G23" s="107"/>
      <c r="H23" s="107"/>
      <c r="I23" s="107"/>
      <c r="J23" s="107"/>
      <c r="K23" s="108"/>
      <c r="L23" s="41">
        <v>15</v>
      </c>
      <c r="M23" s="42">
        <f t="shared" si="0"/>
        <v>180</v>
      </c>
      <c r="N23" s="1"/>
    </row>
    <row r="24" spans="2:14">
      <c r="B24" s="1"/>
      <c r="C24" s="37"/>
      <c r="D24" s="244"/>
      <c r="E24" s="245"/>
      <c r="F24" s="245"/>
      <c r="G24" s="245"/>
      <c r="H24" s="245"/>
      <c r="I24" s="245"/>
      <c r="J24" s="245"/>
      <c r="K24" s="246"/>
      <c r="L24" s="41"/>
      <c r="M24" s="42" t="str">
        <f t="shared" si="0"/>
        <v/>
      </c>
      <c r="N24" s="1"/>
    </row>
    <row r="25" spans="2:14">
      <c r="B25" s="1"/>
      <c r="C25" s="37"/>
      <c r="D25" s="106"/>
      <c r="E25" s="107"/>
      <c r="F25" s="107"/>
      <c r="G25" s="107"/>
      <c r="H25" s="107"/>
      <c r="I25" s="107"/>
      <c r="J25" s="107"/>
      <c r="K25" s="108"/>
      <c r="L25" s="41"/>
      <c r="M25" s="42" t="str">
        <f t="shared" si="0"/>
        <v/>
      </c>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106"/>
      <c r="E28" s="107"/>
      <c r="F28" s="107"/>
      <c r="G28" s="107"/>
      <c r="H28" s="107"/>
      <c r="I28" s="107"/>
      <c r="J28" s="107"/>
      <c r="K28" s="108"/>
      <c r="L28" s="41"/>
      <c r="M28" s="42"/>
      <c r="N28" s="1"/>
    </row>
    <row r="29" spans="2:14">
      <c r="B29" s="1"/>
      <c r="C29" s="37"/>
      <c r="D29" s="106"/>
      <c r="E29" s="107"/>
      <c r="F29" s="107"/>
      <c r="G29" s="107"/>
      <c r="H29" s="107"/>
      <c r="I29" s="107"/>
      <c r="J29" s="107"/>
      <c r="K29" s="108"/>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106"/>
      <c r="E33" s="107"/>
      <c r="F33" s="107"/>
      <c r="G33" s="107"/>
      <c r="H33" s="107"/>
      <c r="I33" s="107"/>
      <c r="J33" s="107"/>
      <c r="K33" s="108"/>
      <c r="L33" s="41"/>
      <c r="M33" s="42"/>
      <c r="N33" s="1"/>
    </row>
    <row r="34" spans="2:14">
      <c r="B34" s="1"/>
      <c r="C34" s="37"/>
      <c r="D34" s="106"/>
      <c r="E34" s="107"/>
      <c r="F34" s="107"/>
      <c r="G34" s="107"/>
      <c r="H34" s="107"/>
      <c r="I34" s="107"/>
      <c r="J34" s="107"/>
      <c r="K34" s="108"/>
      <c r="L34" s="41"/>
      <c r="M34" s="42"/>
      <c r="N34" s="1"/>
    </row>
    <row r="35" spans="2:14">
      <c r="B35" s="1"/>
      <c r="C35" s="37"/>
      <c r="D35" s="244"/>
      <c r="E35" s="245"/>
      <c r="F35" s="245"/>
      <c r="G35" s="245"/>
      <c r="H35" s="245"/>
      <c r="I35" s="245"/>
      <c r="J35" s="245"/>
      <c r="K35" s="246"/>
      <c r="L35" s="41"/>
      <c r="M35" s="42" t="str">
        <f t="shared" si="0"/>
        <v/>
      </c>
      <c r="N35" s="1"/>
    </row>
    <row r="36" spans="2:14">
      <c r="B36" s="1"/>
      <c r="C36" s="37"/>
      <c r="D36" s="106"/>
      <c r="E36" s="107"/>
      <c r="F36" s="107"/>
      <c r="G36" s="107"/>
      <c r="H36" s="107"/>
      <c r="I36" s="107"/>
      <c r="J36" s="107"/>
      <c r="K36" s="108"/>
      <c r="L36" s="41"/>
      <c r="M36" s="42"/>
      <c r="N36" s="1"/>
    </row>
    <row r="37" spans="2:14">
      <c r="B37" s="1"/>
      <c r="C37" s="37"/>
      <c r="D37" s="106"/>
      <c r="E37" s="107"/>
      <c r="F37" s="107"/>
      <c r="G37" s="107"/>
      <c r="H37" s="107"/>
      <c r="I37" s="107"/>
      <c r="J37" s="107"/>
      <c r="K37" s="108"/>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106"/>
      <c r="E40" s="107"/>
      <c r="F40" s="107"/>
      <c r="G40" s="107"/>
      <c r="H40" s="107"/>
      <c r="I40" s="107"/>
      <c r="J40" s="107"/>
      <c r="K40" s="108"/>
      <c r="L40" s="41"/>
      <c r="M40" s="42"/>
      <c r="N40" s="1"/>
    </row>
    <row r="41" spans="2:14">
      <c r="B41" s="1"/>
      <c r="C41" s="37"/>
      <c r="D41" s="244"/>
      <c r="E41" s="245"/>
      <c r="F41" s="245"/>
      <c r="G41" s="245"/>
      <c r="H41" s="245"/>
      <c r="I41" s="245"/>
      <c r="J41" s="245"/>
      <c r="K41" s="246"/>
      <c r="L41" s="41"/>
      <c r="M41" s="42" t="str">
        <f t="shared" si="0"/>
        <v/>
      </c>
      <c r="N41" s="1"/>
    </row>
    <row r="42" spans="2:14">
      <c r="B42" s="1"/>
      <c r="C42" s="37"/>
      <c r="D42" s="106"/>
      <c r="E42" s="107"/>
      <c r="F42" s="107"/>
      <c r="G42" s="107"/>
      <c r="H42" s="107"/>
      <c r="I42" s="107"/>
      <c r="J42" s="107"/>
      <c r="K42" s="108"/>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106"/>
      <c r="E44" s="107"/>
      <c r="F44" s="107"/>
      <c r="G44" s="107"/>
      <c r="H44" s="107"/>
      <c r="I44" s="107"/>
      <c r="J44" s="107"/>
      <c r="K44" s="108"/>
      <c r="L44" s="41"/>
      <c r="M44" s="42"/>
      <c r="N44" s="1"/>
    </row>
    <row r="45" spans="2:14">
      <c r="B45" s="1"/>
      <c r="C45" s="37"/>
      <c r="D45" s="244"/>
      <c r="E45" s="250"/>
      <c r="F45" s="250"/>
      <c r="G45" s="250"/>
      <c r="H45" s="250"/>
      <c r="I45" s="250"/>
      <c r="J45" s="250"/>
      <c r="K45" s="246"/>
      <c r="L45" s="41"/>
      <c r="M45" s="42" t="str">
        <f t="shared" si="0"/>
        <v/>
      </c>
      <c r="N45" s="1"/>
    </row>
    <row r="46" spans="2:14">
      <c r="B46" s="1"/>
      <c r="C46" s="37"/>
      <c r="D46" s="106"/>
      <c r="E46" s="110"/>
      <c r="F46" s="110"/>
      <c r="G46" s="110"/>
      <c r="H46" s="110"/>
      <c r="I46" s="110"/>
      <c r="J46" s="110"/>
      <c r="K46" s="108"/>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668</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668</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64:L66"/>
    <mergeCell ref="D45:K45"/>
    <mergeCell ref="D47:K47"/>
    <mergeCell ref="D51:G56"/>
    <mergeCell ref="J54:M56"/>
    <mergeCell ref="C58:M61"/>
    <mergeCell ref="C63:M63"/>
    <mergeCell ref="D43:K43"/>
    <mergeCell ref="D22:K22"/>
    <mergeCell ref="D24:K24"/>
    <mergeCell ref="D26:K26"/>
    <mergeCell ref="D27:K27"/>
    <mergeCell ref="D30:K30"/>
    <mergeCell ref="D31:K31"/>
    <mergeCell ref="D32:K32"/>
    <mergeCell ref="D35:K35"/>
    <mergeCell ref="D38:K38"/>
    <mergeCell ref="D39:K39"/>
    <mergeCell ref="D41:K41"/>
    <mergeCell ref="D21:K21"/>
    <mergeCell ref="H3:K6"/>
    <mergeCell ref="D14:H14"/>
    <mergeCell ref="D16:H16"/>
    <mergeCell ref="D18:K18"/>
    <mergeCell ref="D19:K19"/>
  </mergeCells>
  <dataValidations count="9">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481FEF1F-A94A-45B3-9D77-49C2B6F7868E}"/>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C211C1F0-58DE-4926-8D18-85A88F2CA636}"/>
    <dataValidation errorStyle="warning" allowBlank="1" showInputMessage="1" errorTitle="State" promptTitle="State" prompt="Enter the state abbreviation into this cell." sqref="F15" xr:uid="{C0AA0377-26F4-4BC2-A058-052E467CA17C}"/>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FDDCC64D-88D3-4471-9536-84106E7EA3C5}"/>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35BB5889-79D8-4540-98EF-C477B3CE93AD}"/>
    <dataValidation allowBlank="1" showInputMessage="1" showErrorMessage="1" promptTitle="Tax Rate" prompt="To add a tax here, or to change the percentage associated with this tax, enter the tax rate in the cell to the left.  The tax rate will then be automatically calculated." sqref="L51 K50" xr:uid="{31411335-8EBA-4D3A-8944-325EA318B458}"/>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EE5E97D1-E530-44D9-977E-8BB59A8E91CE}"/>
    <dataValidation type="whole" errorStyle="warning" allowBlank="1" showErrorMessage="1" errorTitle="Quantity" error="You must enter a number in this cell." promptTitle="Quantity" sqref="C19:C47" xr:uid="{42D7E1B9-EB6F-4AFA-8ABE-AB56EE6A432A}">
      <formula1>0</formula1>
      <formula2>1000000000</formula2>
    </dataValidation>
    <dataValidation type="decimal" allowBlank="1" showErrorMessage="1" errorTitle="Unit Price" error="You must enter a number into this cell." promptTitle="Unit Price" sqref="L19:L47" xr:uid="{80401697-8763-4117-99CC-3A8DA6DEA388}">
      <formula1>0</formula1>
      <formula2>1000000000</formula2>
    </dataValidation>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56EC0-30C4-40D1-97D7-1160EB771D2E}">
  <sheetPr>
    <pageSetUpPr fitToPage="1"/>
  </sheetPr>
  <dimension ref="A2:N66"/>
  <sheetViews>
    <sheetView workbookViewId="0">
      <selection activeCell="H15" sqref="H15"/>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55</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105" t="s">
        <v>59</v>
      </c>
      <c r="E13" s="105"/>
      <c r="F13" s="105"/>
      <c r="G13" s="105"/>
      <c r="H13" s="105"/>
      <c r="I13" s="21"/>
      <c r="J13" s="1"/>
      <c r="K13" s="1"/>
      <c r="L13" s="5" t="s">
        <v>1</v>
      </c>
      <c r="M13" s="50">
        <v>46017</v>
      </c>
      <c r="N13" s="6"/>
    </row>
    <row r="14" spans="1:14">
      <c r="B14" s="1"/>
      <c r="C14" s="5" t="s">
        <v>2</v>
      </c>
      <c r="D14" s="253"/>
      <c r="E14" s="253"/>
      <c r="F14" s="253"/>
      <c r="G14" s="253"/>
      <c r="H14" s="253"/>
      <c r="I14" s="21"/>
      <c r="J14" s="1"/>
      <c r="K14" s="1"/>
      <c r="L14" s="5" t="s">
        <v>3</v>
      </c>
      <c r="M14" s="34"/>
      <c r="N14" s="7"/>
    </row>
    <row r="15" spans="1:14">
      <c r="B15" s="1"/>
      <c r="C15" s="5" t="s">
        <v>4</v>
      </c>
      <c r="D15" s="31" t="s">
        <v>60</v>
      </c>
      <c r="E15" s="32"/>
      <c r="F15" s="33"/>
      <c r="G15" s="39" t="s">
        <v>22</v>
      </c>
      <c r="H15" s="33" t="s">
        <v>61</v>
      </c>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109" t="s">
        <v>8</v>
      </c>
      <c r="D18" s="254" t="s">
        <v>9</v>
      </c>
      <c r="E18" s="255"/>
      <c r="F18" s="255"/>
      <c r="G18" s="255"/>
      <c r="H18" s="255"/>
      <c r="I18" s="255"/>
      <c r="J18" s="255"/>
      <c r="K18" s="256"/>
      <c r="L18" s="109" t="s">
        <v>10</v>
      </c>
      <c r="M18" s="10" t="s">
        <v>11</v>
      </c>
      <c r="N18" s="1"/>
    </row>
    <row r="19" spans="2:14">
      <c r="B19" s="1"/>
      <c r="C19" s="36">
        <v>48</v>
      </c>
      <c r="D19" s="244" t="s">
        <v>51</v>
      </c>
      <c r="E19" s="245"/>
      <c r="F19" s="245"/>
      <c r="G19" s="245"/>
      <c r="H19" s="245"/>
      <c r="I19" s="245"/>
      <c r="J19" s="245"/>
      <c r="K19" s="246"/>
      <c r="L19" s="43">
        <v>10</v>
      </c>
      <c r="M19" s="45">
        <f t="shared" ref="M19:M45" si="0">IF(L19&lt;&gt;"",ROUND(L19*C19,2),"")</f>
        <v>480</v>
      </c>
      <c r="N19" s="1"/>
    </row>
    <row r="20" spans="2:14">
      <c r="B20" s="1"/>
      <c r="C20" s="37"/>
      <c r="D20" s="61"/>
      <c r="E20" s="110"/>
      <c r="F20" s="110"/>
      <c r="G20" s="110"/>
      <c r="H20" s="110"/>
      <c r="I20" s="110"/>
      <c r="J20" s="110"/>
      <c r="K20" s="108"/>
      <c r="L20" s="41"/>
      <c r="M20" s="42"/>
      <c r="N20" s="1"/>
    </row>
    <row r="21" spans="2:14">
      <c r="B21" s="1"/>
      <c r="C21" s="37">
        <v>32</v>
      </c>
      <c r="D21" s="263" t="s">
        <v>57</v>
      </c>
      <c r="E21" s="264"/>
      <c r="F21" s="264"/>
      <c r="G21" s="264"/>
      <c r="H21" s="264"/>
      <c r="I21" s="264"/>
      <c r="J21" s="264"/>
      <c r="K21" s="265"/>
      <c r="L21" s="41">
        <v>10</v>
      </c>
      <c r="M21" s="42">
        <f t="shared" si="0"/>
        <v>320</v>
      </c>
      <c r="N21" s="1"/>
    </row>
    <row r="22" spans="2:14">
      <c r="B22" s="1"/>
      <c r="C22" s="37"/>
      <c r="D22" s="244"/>
      <c r="E22" s="245"/>
      <c r="F22" s="245"/>
      <c r="G22" s="245"/>
      <c r="H22" s="245"/>
      <c r="I22" s="245"/>
      <c r="J22" s="245"/>
      <c r="K22" s="246"/>
      <c r="L22" s="41"/>
      <c r="M22" s="42" t="str">
        <f t="shared" si="0"/>
        <v/>
      </c>
      <c r="N22" s="1"/>
    </row>
    <row r="23" spans="2:14">
      <c r="B23" s="1"/>
      <c r="C23" s="37">
        <v>32</v>
      </c>
      <c r="D23" s="106" t="s">
        <v>56</v>
      </c>
      <c r="E23" s="107"/>
      <c r="F23" s="107"/>
      <c r="G23" s="107"/>
      <c r="H23" s="107"/>
      <c r="I23" s="107"/>
      <c r="J23" s="107"/>
      <c r="K23" s="108"/>
      <c r="L23" s="41">
        <v>10</v>
      </c>
      <c r="M23" s="42">
        <f t="shared" si="0"/>
        <v>320</v>
      </c>
      <c r="N23" s="1"/>
    </row>
    <row r="24" spans="2:14">
      <c r="B24" s="1"/>
      <c r="C24" s="37"/>
      <c r="D24" s="244"/>
      <c r="E24" s="245"/>
      <c r="F24" s="245"/>
      <c r="G24" s="245"/>
      <c r="H24" s="245"/>
      <c r="I24" s="245"/>
      <c r="J24" s="245"/>
      <c r="K24" s="246"/>
      <c r="L24" s="41"/>
      <c r="M24" s="42" t="str">
        <f t="shared" si="0"/>
        <v/>
      </c>
      <c r="N24" s="1"/>
    </row>
    <row r="25" spans="2:14">
      <c r="B25" s="1"/>
      <c r="C25" s="37">
        <v>1</v>
      </c>
      <c r="D25" s="106" t="s">
        <v>58</v>
      </c>
      <c r="E25" s="107"/>
      <c r="F25" s="107"/>
      <c r="G25" s="107"/>
      <c r="H25" s="107"/>
      <c r="I25" s="107"/>
      <c r="J25" s="107"/>
      <c r="K25" s="108"/>
      <c r="L25" s="41">
        <v>300</v>
      </c>
      <c r="M25" s="42">
        <f t="shared" si="0"/>
        <v>300</v>
      </c>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106"/>
      <c r="E28" s="107"/>
      <c r="F28" s="107"/>
      <c r="G28" s="107"/>
      <c r="H28" s="107"/>
      <c r="I28" s="107"/>
      <c r="J28" s="107"/>
      <c r="K28" s="108"/>
      <c r="L28" s="41"/>
      <c r="M28" s="42"/>
      <c r="N28" s="1"/>
    </row>
    <row r="29" spans="2:14">
      <c r="B29" s="1"/>
      <c r="C29" s="37"/>
      <c r="D29" s="106"/>
      <c r="E29" s="107"/>
      <c r="F29" s="107"/>
      <c r="G29" s="107"/>
      <c r="H29" s="107"/>
      <c r="I29" s="107"/>
      <c r="J29" s="107"/>
      <c r="K29" s="108"/>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106"/>
      <c r="E33" s="107"/>
      <c r="F33" s="107"/>
      <c r="G33" s="107"/>
      <c r="H33" s="107"/>
      <c r="I33" s="107"/>
      <c r="J33" s="107"/>
      <c r="K33" s="108"/>
      <c r="L33" s="41"/>
      <c r="M33" s="42"/>
      <c r="N33" s="1"/>
    </row>
    <row r="34" spans="2:14">
      <c r="B34" s="1"/>
      <c r="C34" s="37"/>
      <c r="D34" s="106"/>
      <c r="E34" s="107"/>
      <c r="F34" s="107"/>
      <c r="G34" s="107"/>
      <c r="H34" s="107"/>
      <c r="I34" s="107"/>
      <c r="J34" s="107"/>
      <c r="K34" s="108"/>
      <c r="L34" s="41"/>
      <c r="M34" s="42"/>
      <c r="N34" s="1"/>
    </row>
    <row r="35" spans="2:14">
      <c r="B35" s="1"/>
      <c r="C35" s="37"/>
      <c r="D35" s="244"/>
      <c r="E35" s="245"/>
      <c r="F35" s="245"/>
      <c r="G35" s="245"/>
      <c r="H35" s="245"/>
      <c r="I35" s="245"/>
      <c r="J35" s="245"/>
      <c r="K35" s="246"/>
      <c r="L35" s="41"/>
      <c r="M35" s="42" t="str">
        <f t="shared" si="0"/>
        <v/>
      </c>
      <c r="N35" s="1"/>
    </row>
    <row r="36" spans="2:14">
      <c r="B36" s="1"/>
      <c r="C36" s="37"/>
      <c r="D36" s="106"/>
      <c r="E36" s="107"/>
      <c r="F36" s="107"/>
      <c r="G36" s="107"/>
      <c r="H36" s="107"/>
      <c r="I36" s="107"/>
      <c r="J36" s="107"/>
      <c r="K36" s="108"/>
      <c r="L36" s="41"/>
      <c r="M36" s="42"/>
      <c r="N36" s="1"/>
    </row>
    <row r="37" spans="2:14">
      <c r="B37" s="1"/>
      <c r="C37" s="37"/>
      <c r="D37" s="106"/>
      <c r="E37" s="107"/>
      <c r="F37" s="107"/>
      <c r="G37" s="107"/>
      <c r="H37" s="107"/>
      <c r="I37" s="107"/>
      <c r="J37" s="107"/>
      <c r="K37" s="108"/>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106"/>
      <c r="E40" s="107"/>
      <c r="F40" s="107"/>
      <c r="G40" s="107"/>
      <c r="H40" s="107"/>
      <c r="I40" s="107"/>
      <c r="J40" s="107"/>
      <c r="K40" s="108"/>
      <c r="L40" s="41"/>
      <c r="M40" s="42"/>
      <c r="N40" s="1"/>
    </row>
    <row r="41" spans="2:14">
      <c r="B41" s="1"/>
      <c r="C41" s="37"/>
      <c r="D41" s="244"/>
      <c r="E41" s="245"/>
      <c r="F41" s="245"/>
      <c r="G41" s="245"/>
      <c r="H41" s="245"/>
      <c r="I41" s="245"/>
      <c r="J41" s="245"/>
      <c r="K41" s="246"/>
      <c r="L41" s="41"/>
      <c r="M41" s="42" t="str">
        <f t="shared" si="0"/>
        <v/>
      </c>
      <c r="N41" s="1"/>
    </row>
    <row r="42" spans="2:14">
      <c r="B42" s="1"/>
      <c r="C42" s="37"/>
      <c r="D42" s="106"/>
      <c r="E42" s="107"/>
      <c r="F42" s="107"/>
      <c r="G42" s="107"/>
      <c r="H42" s="107"/>
      <c r="I42" s="107"/>
      <c r="J42" s="107"/>
      <c r="K42" s="108"/>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106"/>
      <c r="E44" s="107"/>
      <c r="F44" s="107"/>
      <c r="G44" s="107"/>
      <c r="H44" s="107"/>
      <c r="I44" s="107"/>
      <c r="J44" s="107"/>
      <c r="K44" s="108"/>
      <c r="L44" s="41"/>
      <c r="M44" s="42"/>
      <c r="N44" s="1"/>
    </row>
    <row r="45" spans="2:14">
      <c r="B45" s="1"/>
      <c r="C45" s="37"/>
      <c r="D45" s="244"/>
      <c r="E45" s="250"/>
      <c r="F45" s="250"/>
      <c r="G45" s="250"/>
      <c r="H45" s="250"/>
      <c r="I45" s="250"/>
      <c r="J45" s="250"/>
      <c r="K45" s="246"/>
      <c r="L45" s="41"/>
      <c r="M45" s="42" t="str">
        <f t="shared" si="0"/>
        <v/>
      </c>
      <c r="N45" s="1"/>
    </row>
    <row r="46" spans="2:14">
      <c r="B46" s="1"/>
      <c r="C46" s="37"/>
      <c r="D46" s="106"/>
      <c r="E46" s="110"/>
      <c r="F46" s="110"/>
      <c r="G46" s="110"/>
      <c r="H46" s="110"/>
      <c r="I46" s="110"/>
      <c r="J46" s="110"/>
      <c r="K46" s="108"/>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1420</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1420</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64:L66"/>
    <mergeCell ref="D45:K45"/>
    <mergeCell ref="D47:K47"/>
    <mergeCell ref="D51:G56"/>
    <mergeCell ref="J54:M56"/>
    <mergeCell ref="C58:M61"/>
    <mergeCell ref="C63:M63"/>
    <mergeCell ref="D43:K43"/>
    <mergeCell ref="D22:K22"/>
    <mergeCell ref="D24:K24"/>
    <mergeCell ref="D26:K26"/>
    <mergeCell ref="D27:K27"/>
    <mergeCell ref="D30:K30"/>
    <mergeCell ref="D31:K31"/>
    <mergeCell ref="D32:K32"/>
    <mergeCell ref="D35:K35"/>
    <mergeCell ref="D38:K38"/>
    <mergeCell ref="D39:K39"/>
    <mergeCell ref="D41:K41"/>
    <mergeCell ref="D21:K21"/>
    <mergeCell ref="H3:K6"/>
    <mergeCell ref="D14:H14"/>
    <mergeCell ref="D16:H16"/>
    <mergeCell ref="D18:K18"/>
    <mergeCell ref="D19:K19"/>
  </mergeCells>
  <dataValidations count="9">
    <dataValidation type="decimal" allowBlank="1" showErrorMessage="1" errorTitle="Unit Price" error="You must enter a number into this cell." promptTitle="Unit Price" sqref="L19:L47" xr:uid="{FD9FDEC3-995E-4A01-9578-0BDAA1E785E4}">
      <formula1>0</formula1>
      <formula2>1000000000</formula2>
    </dataValidation>
    <dataValidation type="whole" errorStyle="warning" allowBlank="1" showErrorMessage="1" errorTitle="Quantity" error="You must enter a number in this cell." promptTitle="Quantity" sqref="C19:C47" xr:uid="{5E4EA4B5-C9A3-44EB-9630-2FEA584E11C3}">
      <formula1>0</formula1>
      <formula2>1000000000</formula2>
    </dataValidation>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C1D2C278-DE0C-491F-A9A9-2F5BE75CEC81}"/>
    <dataValidation allowBlank="1" showInputMessage="1" showErrorMessage="1" promptTitle="Tax Rate" prompt="To add a tax here, or to change the percentage associated with this tax, enter the tax rate in the cell to the left.  The tax rate will then be automatically calculated." sqref="L51 K50" xr:uid="{AA0C161E-A64D-418C-91D5-17AA10B605B1}"/>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F82AA04E-BFE7-4150-A0FA-4F5CB829DE21}"/>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3792E038-FAE0-4BE8-8F9B-A18168A2396D}"/>
    <dataValidation errorStyle="warning" allowBlank="1" showInputMessage="1" errorTitle="State" promptTitle="State" prompt="Enter the state abbreviation into this cell." sqref="F15" xr:uid="{2C180AA6-3BB2-44F4-BD15-18A740639362}"/>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34A3EEF5-EE4D-4B68-8373-0CFBE6A0998F}"/>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5F18CA52-C172-4257-BF9E-55609CF979FE}"/>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56298-242D-4D04-9AFD-E876C73EF550}">
  <sheetPr>
    <pageSetUpPr fitToPage="1"/>
  </sheetPr>
  <dimension ref="A2:N66"/>
  <sheetViews>
    <sheetView workbookViewId="0">
      <selection activeCell="D23" sqref="D23"/>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62</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115" t="s">
        <v>36</v>
      </c>
      <c r="E13" s="115"/>
      <c r="F13" s="115"/>
      <c r="G13" s="115"/>
      <c r="H13" s="115"/>
      <c r="I13" s="21"/>
      <c r="J13" s="1"/>
      <c r="K13" s="1"/>
      <c r="L13" s="5" t="s">
        <v>1</v>
      </c>
      <c r="M13" s="50">
        <v>46029</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116" t="s">
        <v>8</v>
      </c>
      <c r="D18" s="254" t="s">
        <v>9</v>
      </c>
      <c r="E18" s="255"/>
      <c r="F18" s="255"/>
      <c r="G18" s="255"/>
      <c r="H18" s="255"/>
      <c r="I18" s="255"/>
      <c r="J18" s="255"/>
      <c r="K18" s="256"/>
      <c r="L18" s="116" t="s">
        <v>10</v>
      </c>
      <c r="M18" s="10" t="s">
        <v>11</v>
      </c>
      <c r="N18" s="1"/>
    </row>
    <row r="19" spans="2:14">
      <c r="B19" s="1"/>
      <c r="C19" s="36">
        <v>32</v>
      </c>
      <c r="D19" s="244" t="s">
        <v>51</v>
      </c>
      <c r="E19" s="245"/>
      <c r="F19" s="245"/>
      <c r="G19" s="245"/>
      <c r="H19" s="245"/>
      <c r="I19" s="245"/>
      <c r="J19" s="245"/>
      <c r="K19" s="246"/>
      <c r="L19" s="43">
        <v>13</v>
      </c>
      <c r="M19" s="45">
        <f t="shared" ref="M19:M45" si="0">IF(L19&lt;&gt;"",ROUND(L19*C19,2),"")</f>
        <v>416</v>
      </c>
      <c r="N19" s="1"/>
    </row>
    <row r="20" spans="2:14">
      <c r="B20" s="1"/>
      <c r="C20" s="37"/>
      <c r="D20" s="61"/>
      <c r="E20" s="114"/>
      <c r="F20" s="114"/>
      <c r="G20" s="114"/>
      <c r="H20" s="114"/>
      <c r="I20" s="114"/>
      <c r="J20" s="114"/>
      <c r="K20" s="113"/>
      <c r="L20" s="41"/>
      <c r="M20" s="42"/>
      <c r="N20" s="1"/>
    </row>
    <row r="21" spans="2:14">
      <c r="B21" s="1"/>
      <c r="C21" s="37">
        <v>24</v>
      </c>
      <c r="D21" s="263" t="s">
        <v>63</v>
      </c>
      <c r="E21" s="264"/>
      <c r="F21" s="264"/>
      <c r="G21" s="264"/>
      <c r="H21" s="264"/>
      <c r="I21" s="264"/>
      <c r="J21" s="264"/>
      <c r="K21" s="265"/>
      <c r="L21" s="41">
        <v>13</v>
      </c>
      <c r="M21" s="42">
        <f t="shared" si="0"/>
        <v>312</v>
      </c>
      <c r="N21" s="1"/>
    </row>
    <row r="22" spans="2:14">
      <c r="B22" s="1"/>
      <c r="C22" s="37"/>
      <c r="D22" s="244"/>
      <c r="E22" s="245"/>
      <c r="F22" s="245"/>
      <c r="G22" s="245"/>
      <c r="H22" s="245"/>
      <c r="I22" s="245"/>
      <c r="J22" s="245"/>
      <c r="K22" s="246"/>
      <c r="L22" s="41"/>
      <c r="M22" s="42" t="str">
        <f t="shared" si="0"/>
        <v/>
      </c>
      <c r="N22" s="1"/>
    </row>
    <row r="23" spans="2:14">
      <c r="B23" s="1"/>
      <c r="C23" s="37"/>
      <c r="D23" s="111"/>
      <c r="E23" s="112"/>
      <c r="F23" s="112"/>
      <c r="G23" s="112"/>
      <c r="H23" s="112"/>
      <c r="I23" s="112"/>
      <c r="J23" s="112"/>
      <c r="K23" s="113"/>
      <c r="L23" s="41"/>
      <c r="M23" s="42" t="str">
        <f t="shared" si="0"/>
        <v/>
      </c>
      <c r="N23" s="1"/>
    </row>
    <row r="24" spans="2:14">
      <c r="B24" s="1"/>
      <c r="C24" s="37"/>
      <c r="D24" s="244"/>
      <c r="E24" s="245"/>
      <c r="F24" s="245"/>
      <c r="G24" s="245"/>
      <c r="H24" s="245"/>
      <c r="I24" s="245"/>
      <c r="J24" s="245"/>
      <c r="K24" s="246"/>
      <c r="L24" s="41"/>
      <c r="M24" s="42" t="str">
        <f t="shared" si="0"/>
        <v/>
      </c>
      <c r="N24" s="1"/>
    </row>
    <row r="25" spans="2:14">
      <c r="B25" s="1"/>
      <c r="C25" s="37"/>
      <c r="D25" s="111"/>
      <c r="E25" s="112"/>
      <c r="F25" s="112"/>
      <c r="G25" s="112"/>
      <c r="H25" s="112"/>
      <c r="I25" s="112"/>
      <c r="J25" s="112"/>
      <c r="K25" s="113"/>
      <c r="L25" s="41"/>
      <c r="M25" s="42" t="str">
        <f t="shared" si="0"/>
        <v/>
      </c>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111"/>
      <c r="E28" s="112"/>
      <c r="F28" s="112"/>
      <c r="G28" s="112"/>
      <c r="H28" s="112"/>
      <c r="I28" s="112"/>
      <c r="J28" s="112"/>
      <c r="K28" s="113"/>
      <c r="L28" s="41"/>
      <c r="M28" s="42"/>
      <c r="N28" s="1"/>
    </row>
    <row r="29" spans="2:14">
      <c r="B29" s="1"/>
      <c r="C29" s="37"/>
      <c r="D29" s="111"/>
      <c r="E29" s="112"/>
      <c r="F29" s="112"/>
      <c r="G29" s="112"/>
      <c r="H29" s="112"/>
      <c r="I29" s="112"/>
      <c r="J29" s="112"/>
      <c r="K29" s="113"/>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111"/>
      <c r="E33" s="112"/>
      <c r="F33" s="112"/>
      <c r="G33" s="112"/>
      <c r="H33" s="112"/>
      <c r="I33" s="112"/>
      <c r="J33" s="112"/>
      <c r="K33" s="113"/>
      <c r="L33" s="41"/>
      <c r="M33" s="42"/>
      <c r="N33" s="1"/>
    </row>
    <row r="34" spans="2:14">
      <c r="B34" s="1"/>
      <c r="C34" s="37"/>
      <c r="D34" s="111"/>
      <c r="E34" s="112"/>
      <c r="F34" s="112"/>
      <c r="G34" s="112"/>
      <c r="H34" s="112"/>
      <c r="I34" s="112"/>
      <c r="J34" s="112"/>
      <c r="K34" s="113"/>
      <c r="L34" s="41"/>
      <c r="M34" s="42"/>
      <c r="N34" s="1"/>
    </row>
    <row r="35" spans="2:14">
      <c r="B35" s="1"/>
      <c r="C35" s="37"/>
      <c r="D35" s="244"/>
      <c r="E35" s="245"/>
      <c r="F35" s="245"/>
      <c r="G35" s="245"/>
      <c r="H35" s="245"/>
      <c r="I35" s="245"/>
      <c r="J35" s="245"/>
      <c r="K35" s="246"/>
      <c r="L35" s="41"/>
      <c r="M35" s="42" t="str">
        <f t="shared" si="0"/>
        <v/>
      </c>
      <c r="N35" s="1"/>
    </row>
    <row r="36" spans="2:14">
      <c r="B36" s="1"/>
      <c r="C36" s="37"/>
      <c r="D36" s="111"/>
      <c r="E36" s="112"/>
      <c r="F36" s="112"/>
      <c r="G36" s="112"/>
      <c r="H36" s="112"/>
      <c r="I36" s="112"/>
      <c r="J36" s="112"/>
      <c r="K36" s="113"/>
      <c r="L36" s="41"/>
      <c r="M36" s="42"/>
      <c r="N36" s="1"/>
    </row>
    <row r="37" spans="2:14">
      <c r="B37" s="1"/>
      <c r="C37" s="37"/>
      <c r="D37" s="111"/>
      <c r="E37" s="112"/>
      <c r="F37" s="112"/>
      <c r="G37" s="112"/>
      <c r="H37" s="112"/>
      <c r="I37" s="112"/>
      <c r="J37" s="112"/>
      <c r="K37" s="113"/>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111"/>
      <c r="E40" s="112"/>
      <c r="F40" s="112"/>
      <c r="G40" s="112"/>
      <c r="H40" s="112"/>
      <c r="I40" s="112"/>
      <c r="J40" s="112"/>
      <c r="K40" s="113"/>
      <c r="L40" s="41"/>
      <c r="M40" s="42"/>
      <c r="N40" s="1"/>
    </row>
    <row r="41" spans="2:14">
      <c r="B41" s="1"/>
      <c r="C41" s="37"/>
      <c r="D41" s="244"/>
      <c r="E41" s="245"/>
      <c r="F41" s="245"/>
      <c r="G41" s="245"/>
      <c r="H41" s="245"/>
      <c r="I41" s="245"/>
      <c r="J41" s="245"/>
      <c r="K41" s="246"/>
      <c r="L41" s="41"/>
      <c r="M41" s="42" t="str">
        <f t="shared" si="0"/>
        <v/>
      </c>
      <c r="N41" s="1"/>
    </row>
    <row r="42" spans="2:14">
      <c r="B42" s="1"/>
      <c r="C42" s="37"/>
      <c r="D42" s="111"/>
      <c r="E42" s="112"/>
      <c r="F42" s="112"/>
      <c r="G42" s="112"/>
      <c r="H42" s="112"/>
      <c r="I42" s="112"/>
      <c r="J42" s="112"/>
      <c r="K42" s="113"/>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111"/>
      <c r="E44" s="112"/>
      <c r="F44" s="112"/>
      <c r="G44" s="112"/>
      <c r="H44" s="112"/>
      <c r="I44" s="112"/>
      <c r="J44" s="112"/>
      <c r="K44" s="113"/>
      <c r="L44" s="41"/>
      <c r="M44" s="42"/>
      <c r="N44" s="1"/>
    </row>
    <row r="45" spans="2:14">
      <c r="B45" s="1"/>
      <c r="C45" s="37"/>
      <c r="D45" s="244"/>
      <c r="E45" s="250"/>
      <c r="F45" s="250"/>
      <c r="G45" s="250"/>
      <c r="H45" s="250"/>
      <c r="I45" s="250"/>
      <c r="J45" s="250"/>
      <c r="K45" s="246"/>
      <c r="L45" s="41"/>
      <c r="M45" s="42" t="str">
        <f t="shared" si="0"/>
        <v/>
      </c>
      <c r="N45" s="1"/>
    </row>
    <row r="46" spans="2:14">
      <c r="B46" s="1"/>
      <c r="C46" s="37"/>
      <c r="D46" s="111"/>
      <c r="E46" s="114"/>
      <c r="F46" s="114"/>
      <c r="G46" s="114"/>
      <c r="H46" s="114"/>
      <c r="I46" s="114"/>
      <c r="J46" s="114"/>
      <c r="K46" s="113"/>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728</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728</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21:K21"/>
    <mergeCell ref="H3:K6"/>
    <mergeCell ref="D14:H14"/>
    <mergeCell ref="D16:H16"/>
    <mergeCell ref="D18:K18"/>
    <mergeCell ref="D19:K19"/>
    <mergeCell ref="D43:K43"/>
    <mergeCell ref="D22:K22"/>
    <mergeCell ref="D24:K24"/>
    <mergeCell ref="D26:K26"/>
    <mergeCell ref="D27:K27"/>
    <mergeCell ref="D30:K30"/>
    <mergeCell ref="D31:K31"/>
    <mergeCell ref="D32:K32"/>
    <mergeCell ref="D35:K35"/>
    <mergeCell ref="D38:K38"/>
    <mergeCell ref="D39:K39"/>
    <mergeCell ref="D41:K41"/>
    <mergeCell ref="D64:L66"/>
    <mergeCell ref="D45:K45"/>
    <mergeCell ref="D47:K47"/>
    <mergeCell ref="D51:G56"/>
    <mergeCell ref="J54:M56"/>
    <mergeCell ref="C58:M61"/>
    <mergeCell ref="C63:M63"/>
  </mergeCells>
  <dataValidations count="9">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C1C3275F-6550-439E-9018-4F109677C788}"/>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0CB6E06D-5FA4-4A1C-935B-AF1AC582C820}"/>
    <dataValidation errorStyle="warning" allowBlank="1" showInputMessage="1" errorTitle="State" promptTitle="State" prompt="Enter the state abbreviation into this cell." sqref="F15" xr:uid="{B0743A72-A70F-4B7D-96A7-0FA92A58CD7A}"/>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1A4DCEA0-E42C-4415-9110-E376375BFFC3}"/>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F38FA0CE-8F65-4D07-87AA-F8833AABF4F0}"/>
    <dataValidation allowBlank="1" showInputMessage="1" showErrorMessage="1" promptTitle="Tax Rate" prompt="To add a tax here, or to change the percentage associated with this tax, enter the tax rate in the cell to the left.  The tax rate will then be automatically calculated." sqref="L51 K50" xr:uid="{8735CEDC-87D2-4A9F-8760-F0090C41B807}"/>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32CA6658-EE7C-45E9-A1D1-6FB5DB46FBEE}"/>
    <dataValidation type="whole" errorStyle="warning" allowBlank="1" showErrorMessage="1" errorTitle="Quantity" error="You must enter a number in this cell." promptTitle="Quantity" sqref="C19:C47" xr:uid="{D45E39CC-EFD2-4B69-8FF2-E2857264D165}">
      <formula1>0</formula1>
      <formula2>1000000000</formula2>
    </dataValidation>
    <dataValidation type="decimal" allowBlank="1" showErrorMessage="1" errorTitle="Unit Price" error="You must enter a number into this cell." promptTitle="Unit Price" sqref="L19:L47" xr:uid="{ACB331AB-6BEB-40F6-92B0-A58E93749AC5}">
      <formula1>0</formula1>
      <formula2>1000000000</formula2>
    </dataValidation>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6CA47-A649-4D45-8981-73D209DC3D9B}">
  <sheetPr>
    <pageSetUpPr fitToPage="1"/>
  </sheetPr>
  <dimension ref="A2:N66"/>
  <sheetViews>
    <sheetView workbookViewId="0">
      <selection activeCell="M14" sqref="M14"/>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65</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121" t="s">
        <v>36</v>
      </c>
      <c r="E13" s="121"/>
      <c r="F13" s="121"/>
      <c r="G13" s="121"/>
      <c r="H13" s="121"/>
      <c r="I13" s="21"/>
      <c r="J13" s="1"/>
      <c r="K13" s="1"/>
      <c r="L13" s="5" t="s">
        <v>1</v>
      </c>
      <c r="M13" s="50">
        <v>46052</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122" t="s">
        <v>8</v>
      </c>
      <c r="D18" s="254" t="s">
        <v>9</v>
      </c>
      <c r="E18" s="255"/>
      <c r="F18" s="255"/>
      <c r="G18" s="255"/>
      <c r="H18" s="255"/>
      <c r="I18" s="255"/>
      <c r="J18" s="255"/>
      <c r="K18" s="256"/>
      <c r="L18" s="122" t="s">
        <v>10</v>
      </c>
      <c r="M18" s="10" t="s">
        <v>11</v>
      </c>
      <c r="N18" s="1"/>
    </row>
    <row r="19" spans="2:14">
      <c r="B19" s="1"/>
      <c r="C19" s="36">
        <v>24</v>
      </c>
      <c r="D19" s="244" t="s">
        <v>51</v>
      </c>
      <c r="E19" s="245"/>
      <c r="F19" s="245"/>
      <c r="G19" s="245"/>
      <c r="H19" s="245"/>
      <c r="I19" s="245"/>
      <c r="J19" s="245"/>
      <c r="K19" s="246"/>
      <c r="L19" s="43">
        <v>13</v>
      </c>
      <c r="M19" s="45">
        <f t="shared" ref="M19:M45" si="0">IF(L19&lt;&gt;"",ROUND(L19*C19,2),"")</f>
        <v>312</v>
      </c>
      <c r="N19" s="1"/>
    </row>
    <row r="20" spans="2:14">
      <c r="B20" s="1"/>
      <c r="C20" s="37"/>
      <c r="D20" s="61"/>
      <c r="E20" s="120"/>
      <c r="F20" s="120"/>
      <c r="G20" s="120"/>
      <c r="H20" s="120"/>
      <c r="I20" s="120"/>
      <c r="J20" s="120"/>
      <c r="K20" s="119"/>
      <c r="L20" s="41"/>
      <c r="M20" s="42"/>
      <c r="N20" s="1"/>
    </row>
    <row r="21" spans="2:14">
      <c r="B21" s="1"/>
      <c r="C21" s="37">
        <v>12</v>
      </c>
      <c r="D21" s="263" t="s">
        <v>63</v>
      </c>
      <c r="E21" s="264"/>
      <c r="F21" s="264"/>
      <c r="G21" s="264"/>
      <c r="H21" s="264"/>
      <c r="I21" s="264"/>
      <c r="J21" s="264"/>
      <c r="K21" s="265"/>
      <c r="L21" s="41">
        <v>13</v>
      </c>
      <c r="M21" s="42">
        <f t="shared" si="0"/>
        <v>156</v>
      </c>
      <c r="N21" s="1"/>
    </row>
    <row r="22" spans="2:14">
      <c r="B22" s="1"/>
      <c r="C22" s="37"/>
      <c r="D22" s="244"/>
      <c r="E22" s="245"/>
      <c r="F22" s="245"/>
      <c r="G22" s="245"/>
      <c r="H22" s="245"/>
      <c r="I22" s="245"/>
      <c r="J22" s="245"/>
      <c r="K22" s="246"/>
      <c r="L22" s="41"/>
      <c r="M22" s="42" t="str">
        <f t="shared" si="0"/>
        <v/>
      </c>
      <c r="N22" s="1"/>
    </row>
    <row r="23" spans="2:14">
      <c r="B23" s="1"/>
      <c r="C23" s="37">
        <v>24</v>
      </c>
      <c r="D23" s="117" t="s">
        <v>64</v>
      </c>
      <c r="E23" s="118"/>
      <c r="F23" s="118"/>
      <c r="G23" s="118"/>
      <c r="H23" s="118"/>
      <c r="I23" s="118"/>
      <c r="J23" s="118"/>
      <c r="K23" s="119"/>
      <c r="L23" s="41">
        <v>13</v>
      </c>
      <c r="M23" s="42">
        <f t="shared" si="0"/>
        <v>312</v>
      </c>
      <c r="N23" s="1"/>
    </row>
    <row r="24" spans="2:14">
      <c r="B24" s="1"/>
      <c r="C24" s="37"/>
      <c r="D24" s="244"/>
      <c r="E24" s="245"/>
      <c r="F24" s="245"/>
      <c r="G24" s="245"/>
      <c r="H24" s="245"/>
      <c r="I24" s="245"/>
      <c r="J24" s="245"/>
      <c r="K24" s="246"/>
      <c r="L24" s="41"/>
      <c r="M24" s="42" t="str">
        <f t="shared" si="0"/>
        <v/>
      </c>
      <c r="N24" s="1"/>
    </row>
    <row r="25" spans="2:14">
      <c r="B25" s="1"/>
      <c r="C25" s="37"/>
      <c r="D25" s="117"/>
      <c r="E25" s="118"/>
      <c r="F25" s="118"/>
      <c r="G25" s="118"/>
      <c r="H25" s="118"/>
      <c r="I25" s="118"/>
      <c r="J25" s="118"/>
      <c r="K25" s="119"/>
      <c r="L25" s="41"/>
      <c r="M25" s="42" t="str">
        <f t="shared" si="0"/>
        <v/>
      </c>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117"/>
      <c r="E28" s="118"/>
      <c r="F28" s="118"/>
      <c r="G28" s="118"/>
      <c r="H28" s="118"/>
      <c r="I28" s="118"/>
      <c r="J28" s="118"/>
      <c r="K28" s="119"/>
      <c r="L28" s="41"/>
      <c r="M28" s="42"/>
      <c r="N28" s="1"/>
    </row>
    <row r="29" spans="2:14">
      <c r="B29" s="1"/>
      <c r="C29" s="37"/>
      <c r="D29" s="117"/>
      <c r="E29" s="118"/>
      <c r="F29" s="118"/>
      <c r="G29" s="118"/>
      <c r="H29" s="118"/>
      <c r="I29" s="118"/>
      <c r="J29" s="118"/>
      <c r="K29" s="119"/>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117"/>
      <c r="E33" s="118"/>
      <c r="F33" s="118"/>
      <c r="G33" s="118"/>
      <c r="H33" s="118"/>
      <c r="I33" s="118"/>
      <c r="J33" s="118"/>
      <c r="K33" s="119"/>
      <c r="L33" s="41"/>
      <c r="M33" s="42"/>
      <c r="N33" s="1"/>
    </row>
    <row r="34" spans="2:14">
      <c r="B34" s="1"/>
      <c r="C34" s="37"/>
      <c r="D34" s="117"/>
      <c r="E34" s="118"/>
      <c r="F34" s="118"/>
      <c r="G34" s="118"/>
      <c r="H34" s="118"/>
      <c r="I34" s="118"/>
      <c r="J34" s="118"/>
      <c r="K34" s="119"/>
      <c r="L34" s="41"/>
      <c r="M34" s="42"/>
      <c r="N34" s="1"/>
    </row>
    <row r="35" spans="2:14">
      <c r="B35" s="1"/>
      <c r="C35" s="37"/>
      <c r="D35" s="244"/>
      <c r="E35" s="245"/>
      <c r="F35" s="245"/>
      <c r="G35" s="245"/>
      <c r="H35" s="245"/>
      <c r="I35" s="245"/>
      <c r="J35" s="245"/>
      <c r="K35" s="246"/>
      <c r="L35" s="41"/>
      <c r="M35" s="42" t="str">
        <f t="shared" si="0"/>
        <v/>
      </c>
      <c r="N35" s="1"/>
    </row>
    <row r="36" spans="2:14">
      <c r="B36" s="1"/>
      <c r="C36" s="37"/>
      <c r="D36" s="117"/>
      <c r="E36" s="118"/>
      <c r="F36" s="118"/>
      <c r="G36" s="118"/>
      <c r="H36" s="118"/>
      <c r="I36" s="118"/>
      <c r="J36" s="118"/>
      <c r="K36" s="119"/>
      <c r="L36" s="41"/>
      <c r="M36" s="42"/>
      <c r="N36" s="1"/>
    </row>
    <row r="37" spans="2:14">
      <c r="B37" s="1"/>
      <c r="C37" s="37"/>
      <c r="D37" s="117"/>
      <c r="E37" s="118"/>
      <c r="F37" s="118"/>
      <c r="G37" s="118"/>
      <c r="H37" s="118"/>
      <c r="I37" s="118"/>
      <c r="J37" s="118"/>
      <c r="K37" s="119"/>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117"/>
      <c r="E40" s="118"/>
      <c r="F40" s="118"/>
      <c r="G40" s="118"/>
      <c r="H40" s="118"/>
      <c r="I40" s="118"/>
      <c r="J40" s="118"/>
      <c r="K40" s="119"/>
      <c r="L40" s="41"/>
      <c r="M40" s="42"/>
      <c r="N40" s="1"/>
    </row>
    <row r="41" spans="2:14">
      <c r="B41" s="1"/>
      <c r="C41" s="37"/>
      <c r="D41" s="244"/>
      <c r="E41" s="245"/>
      <c r="F41" s="245"/>
      <c r="G41" s="245"/>
      <c r="H41" s="245"/>
      <c r="I41" s="245"/>
      <c r="J41" s="245"/>
      <c r="K41" s="246"/>
      <c r="L41" s="41"/>
      <c r="M41" s="42" t="str">
        <f t="shared" si="0"/>
        <v/>
      </c>
      <c r="N41" s="1"/>
    </row>
    <row r="42" spans="2:14">
      <c r="B42" s="1"/>
      <c r="C42" s="37"/>
      <c r="D42" s="117"/>
      <c r="E42" s="118"/>
      <c r="F42" s="118"/>
      <c r="G42" s="118"/>
      <c r="H42" s="118"/>
      <c r="I42" s="118"/>
      <c r="J42" s="118"/>
      <c r="K42" s="119"/>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117"/>
      <c r="E44" s="118"/>
      <c r="F44" s="118"/>
      <c r="G44" s="118"/>
      <c r="H44" s="118"/>
      <c r="I44" s="118"/>
      <c r="J44" s="118"/>
      <c r="K44" s="119"/>
      <c r="L44" s="41"/>
      <c r="M44" s="42"/>
      <c r="N44" s="1"/>
    </row>
    <row r="45" spans="2:14">
      <c r="B45" s="1"/>
      <c r="C45" s="37"/>
      <c r="D45" s="244"/>
      <c r="E45" s="250"/>
      <c r="F45" s="250"/>
      <c r="G45" s="250"/>
      <c r="H45" s="250"/>
      <c r="I45" s="250"/>
      <c r="J45" s="250"/>
      <c r="K45" s="246"/>
      <c r="L45" s="41"/>
      <c r="M45" s="42" t="str">
        <f t="shared" si="0"/>
        <v/>
      </c>
      <c r="N45" s="1"/>
    </row>
    <row r="46" spans="2:14">
      <c r="B46" s="1"/>
      <c r="C46" s="37"/>
      <c r="D46" s="117"/>
      <c r="E46" s="120"/>
      <c r="F46" s="120"/>
      <c r="G46" s="120"/>
      <c r="H46" s="120"/>
      <c r="I46" s="120"/>
      <c r="J46" s="120"/>
      <c r="K46" s="119"/>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780</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780</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21:K21"/>
    <mergeCell ref="H3:K6"/>
    <mergeCell ref="D14:H14"/>
    <mergeCell ref="D16:H16"/>
    <mergeCell ref="D18:K18"/>
    <mergeCell ref="D19:K19"/>
    <mergeCell ref="D43:K43"/>
    <mergeCell ref="D22:K22"/>
    <mergeCell ref="D24:K24"/>
    <mergeCell ref="D26:K26"/>
    <mergeCell ref="D27:K27"/>
    <mergeCell ref="D30:K30"/>
    <mergeCell ref="D31:K31"/>
    <mergeCell ref="D32:K32"/>
    <mergeCell ref="D35:K35"/>
    <mergeCell ref="D38:K38"/>
    <mergeCell ref="D39:K39"/>
    <mergeCell ref="D41:K41"/>
    <mergeCell ref="D64:L66"/>
    <mergeCell ref="D45:K45"/>
    <mergeCell ref="D47:K47"/>
    <mergeCell ref="D51:G56"/>
    <mergeCell ref="J54:M56"/>
    <mergeCell ref="C58:M61"/>
    <mergeCell ref="C63:M63"/>
  </mergeCells>
  <dataValidations count="9">
    <dataValidation type="decimal" allowBlank="1" showErrorMessage="1" errorTitle="Unit Price" error="You must enter a number into this cell." promptTitle="Unit Price" sqref="L19:L47" xr:uid="{1E7244AA-7DEF-4D64-895E-34872C8BB698}">
      <formula1>0</formula1>
      <formula2>1000000000</formula2>
    </dataValidation>
    <dataValidation type="whole" errorStyle="warning" allowBlank="1" showErrorMessage="1" errorTitle="Quantity" error="You must enter a number in this cell." promptTitle="Quantity" sqref="C19:C47" xr:uid="{91194FE2-4C70-4468-950A-A00D8CAA11CE}">
      <formula1>0</formula1>
      <formula2>1000000000</formula2>
    </dataValidation>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282AC335-1FA2-4893-A045-C81B23345773}"/>
    <dataValidation allowBlank="1" showInputMessage="1" showErrorMessage="1" promptTitle="Tax Rate" prompt="To add a tax here, or to change the percentage associated with this tax, enter the tax rate in the cell to the left.  The tax rate will then be automatically calculated." sqref="L51 K50" xr:uid="{F31E5A0B-E0F1-4220-9624-DCFFE4E5ECCD}"/>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C259D592-2EAB-4F33-B4EA-FC8F56AF7AE6}"/>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8872C89F-721B-438F-9C80-251A26ADB450}"/>
    <dataValidation errorStyle="warning" allowBlank="1" showInputMessage="1" errorTitle="State" promptTitle="State" prompt="Enter the state abbreviation into this cell." sqref="F15" xr:uid="{7703DF26-38A8-4475-BB81-7B57091A1E71}"/>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B8D0B409-3A6D-4E10-8216-B26A1CFD5A06}"/>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C131856C-34AE-4830-BBB0-8BC4ADE1B3DA}"/>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0269D-D315-45BF-8F76-192988917BFB}">
  <sheetPr>
    <pageSetUpPr fitToPage="1"/>
  </sheetPr>
  <dimension ref="A2:N66"/>
  <sheetViews>
    <sheetView workbookViewId="0">
      <selection activeCell="L21" sqref="L21"/>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66</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123" t="s">
        <v>36</v>
      </c>
      <c r="E13" s="123"/>
      <c r="F13" s="123"/>
      <c r="G13" s="123"/>
      <c r="H13" s="123"/>
      <c r="I13" s="21"/>
      <c r="J13" s="1"/>
      <c r="K13" s="1"/>
      <c r="L13" s="5" t="s">
        <v>1</v>
      </c>
      <c r="M13" s="50">
        <v>46055</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127" t="s">
        <v>8</v>
      </c>
      <c r="D18" s="254" t="s">
        <v>9</v>
      </c>
      <c r="E18" s="255"/>
      <c r="F18" s="255"/>
      <c r="G18" s="255"/>
      <c r="H18" s="255"/>
      <c r="I18" s="255"/>
      <c r="J18" s="255"/>
      <c r="K18" s="256"/>
      <c r="L18" s="127" t="s">
        <v>10</v>
      </c>
      <c r="M18" s="10" t="s">
        <v>11</v>
      </c>
      <c r="N18" s="1"/>
    </row>
    <row r="19" spans="2:14">
      <c r="B19" s="1"/>
      <c r="C19" s="36">
        <v>24</v>
      </c>
      <c r="D19" s="244" t="s">
        <v>51</v>
      </c>
      <c r="E19" s="245"/>
      <c r="F19" s="245"/>
      <c r="G19" s="245"/>
      <c r="H19" s="245"/>
      <c r="I19" s="245"/>
      <c r="J19" s="245"/>
      <c r="K19" s="246"/>
      <c r="L19" s="43">
        <v>13</v>
      </c>
      <c r="M19" s="45">
        <f t="shared" ref="M19:M45" si="0">IF(L19&lt;&gt;"",ROUND(L19*C19,2),"")</f>
        <v>312</v>
      </c>
      <c r="N19" s="1"/>
    </row>
    <row r="20" spans="2:14">
      <c r="B20" s="1"/>
      <c r="C20" s="37"/>
      <c r="D20" s="61"/>
      <c r="E20" s="128"/>
      <c r="F20" s="128"/>
      <c r="G20" s="128"/>
      <c r="H20" s="128"/>
      <c r="I20" s="128"/>
      <c r="J20" s="128"/>
      <c r="K20" s="126"/>
      <c r="L20" s="41"/>
      <c r="M20" s="42"/>
      <c r="N20" s="1"/>
    </row>
    <row r="21" spans="2:14">
      <c r="B21" s="1"/>
      <c r="C21" s="37"/>
      <c r="D21" s="263"/>
      <c r="E21" s="264"/>
      <c r="F21" s="264"/>
      <c r="G21" s="264"/>
      <c r="H21" s="264"/>
      <c r="I21" s="264"/>
      <c r="J21" s="264"/>
      <c r="K21" s="265"/>
      <c r="L21" s="41"/>
      <c r="M21" s="42" t="str">
        <f t="shared" si="0"/>
        <v/>
      </c>
      <c r="N21" s="1"/>
    </row>
    <row r="22" spans="2:14">
      <c r="B22" s="1"/>
      <c r="C22" s="37"/>
      <c r="D22" s="244"/>
      <c r="E22" s="245"/>
      <c r="F22" s="245"/>
      <c r="G22" s="245"/>
      <c r="H22" s="245"/>
      <c r="I22" s="245"/>
      <c r="J22" s="245"/>
      <c r="K22" s="246"/>
      <c r="L22" s="41"/>
      <c r="M22" s="42" t="str">
        <f t="shared" si="0"/>
        <v/>
      </c>
      <c r="N22" s="1"/>
    </row>
    <row r="23" spans="2:14">
      <c r="B23" s="1"/>
      <c r="C23" s="37"/>
      <c r="D23" s="124"/>
      <c r="E23" s="125"/>
      <c r="F23" s="125"/>
      <c r="G23" s="125"/>
      <c r="H23" s="125"/>
      <c r="I23" s="125"/>
      <c r="J23" s="125"/>
      <c r="K23" s="126"/>
      <c r="L23" s="41"/>
      <c r="M23" s="42" t="str">
        <f t="shared" si="0"/>
        <v/>
      </c>
      <c r="N23" s="1"/>
    </row>
    <row r="24" spans="2:14">
      <c r="B24" s="1"/>
      <c r="C24" s="37"/>
      <c r="D24" s="244"/>
      <c r="E24" s="245"/>
      <c r="F24" s="245"/>
      <c r="G24" s="245"/>
      <c r="H24" s="245"/>
      <c r="I24" s="245"/>
      <c r="J24" s="245"/>
      <c r="K24" s="246"/>
      <c r="L24" s="41"/>
      <c r="M24" s="42" t="str">
        <f t="shared" si="0"/>
        <v/>
      </c>
      <c r="N24" s="1"/>
    </row>
    <row r="25" spans="2:14">
      <c r="B25" s="1"/>
      <c r="C25" s="37"/>
      <c r="D25" s="124"/>
      <c r="E25" s="125"/>
      <c r="F25" s="125"/>
      <c r="G25" s="125"/>
      <c r="H25" s="125"/>
      <c r="I25" s="125"/>
      <c r="J25" s="125"/>
      <c r="K25" s="126"/>
      <c r="L25" s="41"/>
      <c r="M25" s="42" t="str">
        <f t="shared" si="0"/>
        <v/>
      </c>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124"/>
      <c r="E28" s="125"/>
      <c r="F28" s="125"/>
      <c r="G28" s="125"/>
      <c r="H28" s="125"/>
      <c r="I28" s="125"/>
      <c r="J28" s="125"/>
      <c r="K28" s="126"/>
      <c r="L28" s="41"/>
      <c r="M28" s="42"/>
      <c r="N28" s="1"/>
    </row>
    <row r="29" spans="2:14">
      <c r="B29" s="1"/>
      <c r="C29" s="37"/>
      <c r="D29" s="124"/>
      <c r="E29" s="125"/>
      <c r="F29" s="125"/>
      <c r="G29" s="125"/>
      <c r="H29" s="125"/>
      <c r="I29" s="125"/>
      <c r="J29" s="125"/>
      <c r="K29" s="126"/>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124"/>
      <c r="E33" s="125"/>
      <c r="F33" s="125"/>
      <c r="G33" s="125"/>
      <c r="H33" s="125"/>
      <c r="I33" s="125"/>
      <c r="J33" s="125"/>
      <c r="K33" s="126"/>
      <c r="L33" s="41"/>
      <c r="M33" s="42"/>
      <c r="N33" s="1"/>
    </row>
    <row r="34" spans="2:14">
      <c r="B34" s="1"/>
      <c r="C34" s="37"/>
      <c r="D34" s="124"/>
      <c r="E34" s="125"/>
      <c r="F34" s="125"/>
      <c r="G34" s="125"/>
      <c r="H34" s="125"/>
      <c r="I34" s="125"/>
      <c r="J34" s="125"/>
      <c r="K34" s="126"/>
      <c r="L34" s="41"/>
      <c r="M34" s="42"/>
      <c r="N34" s="1"/>
    </row>
    <row r="35" spans="2:14">
      <c r="B35" s="1"/>
      <c r="C35" s="37"/>
      <c r="D35" s="244"/>
      <c r="E35" s="245"/>
      <c r="F35" s="245"/>
      <c r="G35" s="245"/>
      <c r="H35" s="245"/>
      <c r="I35" s="245"/>
      <c r="J35" s="245"/>
      <c r="K35" s="246"/>
      <c r="L35" s="41"/>
      <c r="M35" s="42" t="str">
        <f t="shared" si="0"/>
        <v/>
      </c>
      <c r="N35" s="1"/>
    </row>
    <row r="36" spans="2:14">
      <c r="B36" s="1"/>
      <c r="C36" s="37"/>
      <c r="D36" s="124"/>
      <c r="E36" s="125"/>
      <c r="F36" s="125"/>
      <c r="G36" s="125"/>
      <c r="H36" s="125"/>
      <c r="I36" s="125"/>
      <c r="J36" s="125"/>
      <c r="K36" s="126"/>
      <c r="L36" s="41"/>
      <c r="M36" s="42"/>
      <c r="N36" s="1"/>
    </row>
    <row r="37" spans="2:14">
      <c r="B37" s="1"/>
      <c r="C37" s="37"/>
      <c r="D37" s="124"/>
      <c r="E37" s="125"/>
      <c r="F37" s="125"/>
      <c r="G37" s="125"/>
      <c r="H37" s="125"/>
      <c r="I37" s="125"/>
      <c r="J37" s="125"/>
      <c r="K37" s="126"/>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124"/>
      <c r="E40" s="125"/>
      <c r="F40" s="125"/>
      <c r="G40" s="125"/>
      <c r="H40" s="125"/>
      <c r="I40" s="125"/>
      <c r="J40" s="125"/>
      <c r="K40" s="126"/>
      <c r="L40" s="41"/>
      <c r="M40" s="42"/>
      <c r="N40" s="1"/>
    </row>
    <row r="41" spans="2:14">
      <c r="B41" s="1"/>
      <c r="C41" s="37"/>
      <c r="D41" s="244"/>
      <c r="E41" s="245"/>
      <c r="F41" s="245"/>
      <c r="G41" s="245"/>
      <c r="H41" s="245"/>
      <c r="I41" s="245"/>
      <c r="J41" s="245"/>
      <c r="K41" s="246"/>
      <c r="L41" s="41"/>
      <c r="M41" s="42" t="str">
        <f t="shared" si="0"/>
        <v/>
      </c>
      <c r="N41" s="1"/>
    </row>
    <row r="42" spans="2:14">
      <c r="B42" s="1"/>
      <c r="C42" s="37"/>
      <c r="D42" s="124"/>
      <c r="E42" s="125"/>
      <c r="F42" s="125"/>
      <c r="G42" s="125"/>
      <c r="H42" s="125"/>
      <c r="I42" s="125"/>
      <c r="J42" s="125"/>
      <c r="K42" s="126"/>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124"/>
      <c r="E44" s="125"/>
      <c r="F44" s="125"/>
      <c r="G44" s="125"/>
      <c r="H44" s="125"/>
      <c r="I44" s="125"/>
      <c r="J44" s="125"/>
      <c r="K44" s="126"/>
      <c r="L44" s="41"/>
      <c r="M44" s="42"/>
      <c r="N44" s="1"/>
    </row>
    <row r="45" spans="2:14">
      <c r="B45" s="1"/>
      <c r="C45" s="37"/>
      <c r="D45" s="244"/>
      <c r="E45" s="250"/>
      <c r="F45" s="250"/>
      <c r="G45" s="250"/>
      <c r="H45" s="250"/>
      <c r="I45" s="250"/>
      <c r="J45" s="250"/>
      <c r="K45" s="246"/>
      <c r="L45" s="41"/>
      <c r="M45" s="42" t="str">
        <f t="shared" si="0"/>
        <v/>
      </c>
      <c r="N45" s="1"/>
    </row>
    <row r="46" spans="2:14">
      <c r="B46" s="1"/>
      <c r="C46" s="37"/>
      <c r="D46" s="124"/>
      <c r="E46" s="128"/>
      <c r="F46" s="128"/>
      <c r="G46" s="128"/>
      <c r="H46" s="128"/>
      <c r="I46" s="128"/>
      <c r="J46" s="128"/>
      <c r="K46" s="126"/>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312</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312</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64:L66"/>
    <mergeCell ref="D45:K45"/>
    <mergeCell ref="D47:K47"/>
    <mergeCell ref="D51:G56"/>
    <mergeCell ref="J54:M56"/>
    <mergeCell ref="C58:M61"/>
    <mergeCell ref="C63:M63"/>
    <mergeCell ref="D43:K43"/>
    <mergeCell ref="D22:K22"/>
    <mergeCell ref="D24:K24"/>
    <mergeCell ref="D26:K26"/>
    <mergeCell ref="D27:K27"/>
    <mergeCell ref="D30:K30"/>
    <mergeCell ref="D31:K31"/>
    <mergeCell ref="D32:K32"/>
    <mergeCell ref="D35:K35"/>
    <mergeCell ref="D38:K38"/>
    <mergeCell ref="D39:K39"/>
    <mergeCell ref="D41:K41"/>
    <mergeCell ref="D21:K21"/>
    <mergeCell ref="H3:K6"/>
    <mergeCell ref="D14:H14"/>
    <mergeCell ref="D16:H16"/>
    <mergeCell ref="D18:K18"/>
    <mergeCell ref="D19:K19"/>
  </mergeCells>
  <dataValidations count="9">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9B79915D-B62B-4C3B-B73C-F49420948177}"/>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F3598BFD-CF80-447F-8985-C9752253DD64}"/>
    <dataValidation errorStyle="warning" allowBlank="1" showInputMessage="1" errorTitle="State" promptTitle="State" prompt="Enter the state abbreviation into this cell." sqref="F15" xr:uid="{A0D7E9A3-C330-4A7D-A92D-CDB0A0FEA7B6}"/>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1494FBE3-D8C7-43DD-901C-B8D8FBF445B8}"/>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90BDC183-96A9-445C-95B9-78F766B7921E}"/>
    <dataValidation allowBlank="1" showInputMessage="1" showErrorMessage="1" promptTitle="Tax Rate" prompt="To add a tax here, or to change the percentage associated with this tax, enter the tax rate in the cell to the left.  The tax rate will then be automatically calculated." sqref="L51 K50" xr:uid="{44DAF5A6-0D79-43AE-A566-4EABA371F3FD}"/>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C4B9E4ED-6528-43CF-AC4E-7C5E9B7D957B}"/>
    <dataValidation type="whole" errorStyle="warning" allowBlank="1" showErrorMessage="1" errorTitle="Quantity" error="You must enter a number in this cell." promptTitle="Quantity" sqref="C19:C47" xr:uid="{0CAD7B68-AF7D-49ED-B382-30F860F316DE}">
      <formula1>0</formula1>
      <formula2>1000000000</formula2>
    </dataValidation>
    <dataValidation type="decimal" allowBlank="1" showErrorMessage="1" errorTitle="Unit Price" error="You must enter a number into this cell." promptTitle="Unit Price" sqref="L19:L47" xr:uid="{D2D15A4F-22C7-4A76-AAC1-8FDA4EF95104}">
      <formula1>0</formula1>
      <formula2>1000000000</formula2>
    </dataValidation>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04E21-EB9A-440D-A9A0-4594BC5C55DE}">
  <sheetPr>
    <pageSetUpPr fitToPage="1"/>
  </sheetPr>
  <dimension ref="A2:N66"/>
  <sheetViews>
    <sheetView topLeftCell="A11" workbookViewId="0">
      <selection activeCell="C20" sqref="C20"/>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67</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133" t="s">
        <v>36</v>
      </c>
      <c r="E13" s="133"/>
      <c r="F13" s="133"/>
      <c r="G13" s="133"/>
      <c r="H13" s="133"/>
      <c r="I13" s="21"/>
      <c r="J13" s="1"/>
      <c r="K13" s="1"/>
      <c r="L13" s="5" t="s">
        <v>1</v>
      </c>
      <c r="M13" s="50">
        <v>46065</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134" t="s">
        <v>8</v>
      </c>
      <c r="D18" s="254" t="s">
        <v>9</v>
      </c>
      <c r="E18" s="255"/>
      <c r="F18" s="255"/>
      <c r="G18" s="255"/>
      <c r="H18" s="255"/>
      <c r="I18" s="255"/>
      <c r="J18" s="255"/>
      <c r="K18" s="256"/>
      <c r="L18" s="134" t="s">
        <v>10</v>
      </c>
      <c r="M18" s="10" t="s">
        <v>11</v>
      </c>
      <c r="N18" s="1"/>
    </row>
    <row r="19" spans="2:14">
      <c r="B19" s="1"/>
      <c r="C19" s="36">
        <v>32</v>
      </c>
      <c r="D19" s="244" t="s">
        <v>64</v>
      </c>
      <c r="E19" s="245"/>
      <c r="F19" s="245"/>
      <c r="G19" s="245"/>
      <c r="H19" s="245"/>
      <c r="I19" s="245"/>
      <c r="J19" s="245"/>
      <c r="K19" s="246"/>
      <c r="L19" s="43">
        <v>13</v>
      </c>
      <c r="M19" s="45">
        <f t="shared" ref="M19:M45" si="0">IF(L19&lt;&gt;"",ROUND(L19*C19,2),"")</f>
        <v>416</v>
      </c>
      <c r="N19" s="1"/>
    </row>
    <row r="20" spans="2:14">
      <c r="B20" s="1"/>
      <c r="C20" s="37"/>
      <c r="D20" s="61"/>
      <c r="E20" s="132"/>
      <c r="F20" s="132"/>
      <c r="G20" s="132"/>
      <c r="H20" s="132"/>
      <c r="I20" s="132"/>
      <c r="J20" s="132"/>
      <c r="K20" s="131"/>
      <c r="L20" s="41"/>
      <c r="M20" s="42"/>
      <c r="N20" s="1"/>
    </row>
    <row r="21" spans="2:14">
      <c r="B21" s="1"/>
      <c r="C21" s="37"/>
      <c r="D21" s="263"/>
      <c r="E21" s="264"/>
      <c r="F21" s="264"/>
      <c r="G21" s="264"/>
      <c r="H21" s="264"/>
      <c r="I21" s="264"/>
      <c r="J21" s="264"/>
      <c r="K21" s="265"/>
      <c r="L21" s="41"/>
      <c r="M21" s="42" t="str">
        <f t="shared" si="0"/>
        <v/>
      </c>
      <c r="N21" s="1"/>
    </row>
    <row r="22" spans="2:14">
      <c r="B22" s="1"/>
      <c r="C22" s="37"/>
      <c r="D22" s="244"/>
      <c r="E22" s="245"/>
      <c r="F22" s="245"/>
      <c r="G22" s="245"/>
      <c r="H22" s="245"/>
      <c r="I22" s="245"/>
      <c r="J22" s="245"/>
      <c r="K22" s="246"/>
      <c r="L22" s="41"/>
      <c r="M22" s="42" t="str">
        <f t="shared" si="0"/>
        <v/>
      </c>
      <c r="N22" s="1"/>
    </row>
    <row r="23" spans="2:14">
      <c r="B23" s="1"/>
      <c r="C23" s="37"/>
      <c r="D23" s="129"/>
      <c r="E23" s="130"/>
      <c r="F23" s="130"/>
      <c r="G23" s="130"/>
      <c r="H23" s="130"/>
      <c r="I23" s="130"/>
      <c r="J23" s="130"/>
      <c r="K23" s="131"/>
      <c r="L23" s="41"/>
      <c r="M23" s="42" t="str">
        <f t="shared" si="0"/>
        <v/>
      </c>
      <c r="N23" s="1"/>
    </row>
    <row r="24" spans="2:14">
      <c r="B24" s="1"/>
      <c r="C24" s="37"/>
      <c r="D24" s="244"/>
      <c r="E24" s="245"/>
      <c r="F24" s="245"/>
      <c r="G24" s="245"/>
      <c r="H24" s="245"/>
      <c r="I24" s="245"/>
      <c r="J24" s="245"/>
      <c r="K24" s="246"/>
      <c r="L24" s="41"/>
      <c r="M24" s="42" t="str">
        <f t="shared" si="0"/>
        <v/>
      </c>
      <c r="N24" s="1"/>
    </row>
    <row r="25" spans="2:14">
      <c r="B25" s="1"/>
      <c r="C25" s="37"/>
      <c r="D25" s="129"/>
      <c r="E25" s="130"/>
      <c r="F25" s="130"/>
      <c r="G25" s="130"/>
      <c r="H25" s="130"/>
      <c r="I25" s="130"/>
      <c r="J25" s="130"/>
      <c r="K25" s="131"/>
      <c r="L25" s="41"/>
      <c r="M25" s="42" t="str">
        <f t="shared" si="0"/>
        <v/>
      </c>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129"/>
      <c r="E28" s="130"/>
      <c r="F28" s="130"/>
      <c r="G28" s="130"/>
      <c r="H28" s="130"/>
      <c r="I28" s="130"/>
      <c r="J28" s="130"/>
      <c r="K28" s="131"/>
      <c r="L28" s="41"/>
      <c r="M28" s="42"/>
      <c r="N28" s="1"/>
    </row>
    <row r="29" spans="2:14">
      <c r="B29" s="1"/>
      <c r="C29" s="37"/>
      <c r="D29" s="129"/>
      <c r="E29" s="130"/>
      <c r="F29" s="130"/>
      <c r="G29" s="130"/>
      <c r="H29" s="130"/>
      <c r="I29" s="130"/>
      <c r="J29" s="130"/>
      <c r="K29" s="131"/>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129"/>
      <c r="E33" s="130"/>
      <c r="F33" s="130"/>
      <c r="G33" s="130"/>
      <c r="H33" s="130"/>
      <c r="I33" s="130"/>
      <c r="J33" s="130"/>
      <c r="K33" s="131"/>
      <c r="L33" s="41"/>
      <c r="M33" s="42"/>
      <c r="N33" s="1"/>
    </row>
    <row r="34" spans="2:14">
      <c r="B34" s="1"/>
      <c r="C34" s="37"/>
      <c r="D34" s="129"/>
      <c r="E34" s="130"/>
      <c r="F34" s="130"/>
      <c r="G34" s="130"/>
      <c r="H34" s="130"/>
      <c r="I34" s="130"/>
      <c r="J34" s="130"/>
      <c r="K34" s="131"/>
      <c r="L34" s="41"/>
      <c r="M34" s="42"/>
      <c r="N34" s="1"/>
    </row>
    <row r="35" spans="2:14">
      <c r="B35" s="1"/>
      <c r="C35" s="37"/>
      <c r="D35" s="244"/>
      <c r="E35" s="245"/>
      <c r="F35" s="245"/>
      <c r="G35" s="245"/>
      <c r="H35" s="245"/>
      <c r="I35" s="245"/>
      <c r="J35" s="245"/>
      <c r="K35" s="246"/>
      <c r="L35" s="41"/>
      <c r="M35" s="42" t="str">
        <f t="shared" si="0"/>
        <v/>
      </c>
      <c r="N35" s="1"/>
    </row>
    <row r="36" spans="2:14">
      <c r="B36" s="1"/>
      <c r="C36" s="37"/>
      <c r="D36" s="129"/>
      <c r="E36" s="130"/>
      <c r="F36" s="130"/>
      <c r="G36" s="130"/>
      <c r="H36" s="130"/>
      <c r="I36" s="130"/>
      <c r="J36" s="130"/>
      <c r="K36" s="131"/>
      <c r="L36" s="41"/>
      <c r="M36" s="42"/>
      <c r="N36" s="1"/>
    </row>
    <row r="37" spans="2:14">
      <c r="B37" s="1"/>
      <c r="C37" s="37"/>
      <c r="D37" s="129"/>
      <c r="E37" s="130"/>
      <c r="F37" s="130"/>
      <c r="G37" s="130"/>
      <c r="H37" s="130"/>
      <c r="I37" s="130"/>
      <c r="J37" s="130"/>
      <c r="K37" s="131"/>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129"/>
      <c r="E40" s="130"/>
      <c r="F40" s="130"/>
      <c r="G40" s="130"/>
      <c r="H40" s="130"/>
      <c r="I40" s="130"/>
      <c r="J40" s="130"/>
      <c r="K40" s="131"/>
      <c r="L40" s="41"/>
      <c r="M40" s="42"/>
      <c r="N40" s="1"/>
    </row>
    <row r="41" spans="2:14">
      <c r="B41" s="1"/>
      <c r="C41" s="37"/>
      <c r="D41" s="244"/>
      <c r="E41" s="245"/>
      <c r="F41" s="245"/>
      <c r="G41" s="245"/>
      <c r="H41" s="245"/>
      <c r="I41" s="245"/>
      <c r="J41" s="245"/>
      <c r="K41" s="246"/>
      <c r="L41" s="41"/>
      <c r="M41" s="42" t="str">
        <f t="shared" si="0"/>
        <v/>
      </c>
      <c r="N41" s="1"/>
    </row>
    <row r="42" spans="2:14">
      <c r="B42" s="1"/>
      <c r="C42" s="37"/>
      <c r="D42" s="129"/>
      <c r="E42" s="130"/>
      <c r="F42" s="130"/>
      <c r="G42" s="130"/>
      <c r="H42" s="130"/>
      <c r="I42" s="130"/>
      <c r="J42" s="130"/>
      <c r="K42" s="131"/>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129"/>
      <c r="E44" s="130"/>
      <c r="F44" s="130"/>
      <c r="G44" s="130"/>
      <c r="H44" s="130"/>
      <c r="I44" s="130"/>
      <c r="J44" s="130"/>
      <c r="K44" s="131"/>
      <c r="L44" s="41"/>
      <c r="M44" s="42"/>
      <c r="N44" s="1"/>
    </row>
    <row r="45" spans="2:14">
      <c r="B45" s="1"/>
      <c r="C45" s="37"/>
      <c r="D45" s="244"/>
      <c r="E45" s="250"/>
      <c r="F45" s="250"/>
      <c r="G45" s="250"/>
      <c r="H45" s="250"/>
      <c r="I45" s="250"/>
      <c r="J45" s="250"/>
      <c r="K45" s="246"/>
      <c r="L45" s="41"/>
      <c r="M45" s="42" t="str">
        <f t="shared" si="0"/>
        <v/>
      </c>
      <c r="N45" s="1"/>
    </row>
    <row r="46" spans="2:14">
      <c r="B46" s="1"/>
      <c r="C46" s="37"/>
      <c r="D46" s="129"/>
      <c r="E46" s="132"/>
      <c r="F46" s="132"/>
      <c r="G46" s="132"/>
      <c r="H46" s="132"/>
      <c r="I46" s="132"/>
      <c r="J46" s="132"/>
      <c r="K46" s="131"/>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416</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416</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21:K21"/>
    <mergeCell ref="H3:K6"/>
    <mergeCell ref="D14:H14"/>
    <mergeCell ref="D16:H16"/>
    <mergeCell ref="D18:K18"/>
    <mergeCell ref="D19:K19"/>
    <mergeCell ref="D43:K43"/>
    <mergeCell ref="D22:K22"/>
    <mergeCell ref="D24:K24"/>
    <mergeCell ref="D26:K26"/>
    <mergeCell ref="D27:K27"/>
    <mergeCell ref="D30:K30"/>
    <mergeCell ref="D31:K31"/>
    <mergeCell ref="D32:K32"/>
    <mergeCell ref="D35:K35"/>
    <mergeCell ref="D38:K38"/>
    <mergeCell ref="D39:K39"/>
    <mergeCell ref="D41:K41"/>
    <mergeCell ref="D64:L66"/>
    <mergeCell ref="D45:K45"/>
    <mergeCell ref="D47:K47"/>
    <mergeCell ref="D51:G56"/>
    <mergeCell ref="J54:M56"/>
    <mergeCell ref="C58:M61"/>
    <mergeCell ref="C63:M63"/>
  </mergeCells>
  <dataValidations count="9">
    <dataValidation type="decimal" allowBlank="1" showErrorMessage="1" errorTitle="Unit Price" error="You must enter a number into this cell." promptTitle="Unit Price" sqref="L19:L47" xr:uid="{8BA39BE7-E2D6-44D4-9ADC-B04F5863D3D7}">
      <formula1>0</formula1>
      <formula2>1000000000</formula2>
    </dataValidation>
    <dataValidation type="whole" errorStyle="warning" allowBlank="1" showErrorMessage="1" errorTitle="Quantity" error="You must enter a number in this cell." promptTitle="Quantity" sqref="C19:C47" xr:uid="{F3A359EA-028F-4264-A152-83AB6946A21B}">
      <formula1>0</formula1>
      <formula2>1000000000</formula2>
    </dataValidation>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55A0F102-9B19-4981-9407-4EADA65D8F72}"/>
    <dataValidation allowBlank="1" showInputMessage="1" showErrorMessage="1" promptTitle="Tax Rate" prompt="To add a tax here, or to change the percentage associated with this tax, enter the tax rate in the cell to the left.  The tax rate will then be automatically calculated." sqref="L51 K50" xr:uid="{DA7E4F27-4DE0-4C8E-B28F-30DB5C9BF8CE}"/>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33A9ACCA-4C9D-483F-A393-D17F00164EE1}"/>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4E01268D-677F-4A34-899D-A1DCE10D9ED9}"/>
    <dataValidation errorStyle="warning" allowBlank="1" showInputMessage="1" errorTitle="State" promptTitle="State" prompt="Enter the state abbreviation into this cell." sqref="F15" xr:uid="{5DF2B52A-AE36-4796-A06C-03CC298BA00E}"/>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3701814A-DD48-4A6C-AC90-4A20AF7017DA}"/>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EC83D153-767B-4048-BDEC-E5440A1780C7}"/>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AEC90-8DA2-4943-9406-F9194CBA2175}">
  <sheetPr>
    <pageSetUpPr fitToPage="1"/>
  </sheetPr>
  <dimension ref="A2:N66"/>
  <sheetViews>
    <sheetView topLeftCell="A18" workbookViewId="0">
      <selection activeCell="M21" sqref="M21"/>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68</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135" t="s">
        <v>36</v>
      </c>
      <c r="E13" s="135"/>
      <c r="F13" s="135"/>
      <c r="G13" s="135"/>
      <c r="H13" s="135"/>
      <c r="I13" s="21"/>
      <c r="J13" s="1"/>
      <c r="K13" s="1"/>
      <c r="L13" s="5" t="s">
        <v>1</v>
      </c>
      <c r="M13" s="50">
        <v>46079</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139" t="s">
        <v>8</v>
      </c>
      <c r="D18" s="254" t="s">
        <v>9</v>
      </c>
      <c r="E18" s="255"/>
      <c r="F18" s="255"/>
      <c r="G18" s="255"/>
      <c r="H18" s="255"/>
      <c r="I18" s="255"/>
      <c r="J18" s="255"/>
      <c r="K18" s="256"/>
      <c r="L18" s="139" t="s">
        <v>10</v>
      </c>
      <c r="M18" s="10" t="s">
        <v>11</v>
      </c>
      <c r="N18" s="1"/>
    </row>
    <row r="19" spans="2:14">
      <c r="B19" s="1"/>
      <c r="C19" s="36">
        <v>24</v>
      </c>
      <c r="D19" s="244" t="s">
        <v>51</v>
      </c>
      <c r="E19" s="245"/>
      <c r="F19" s="245"/>
      <c r="G19" s="245"/>
      <c r="H19" s="245"/>
      <c r="I19" s="245"/>
      <c r="J19" s="245"/>
      <c r="K19" s="246"/>
      <c r="L19" s="43">
        <v>13</v>
      </c>
      <c r="M19" s="45">
        <f t="shared" ref="M19:M45" si="0">IF(L19&lt;&gt;"",ROUND(L19*C19,2),"")</f>
        <v>312</v>
      </c>
      <c r="N19" s="1"/>
    </row>
    <row r="20" spans="2:14">
      <c r="B20" s="1"/>
      <c r="C20" s="37"/>
      <c r="D20" s="61"/>
      <c r="E20" s="140"/>
      <c r="F20" s="140"/>
      <c r="G20" s="140"/>
      <c r="H20" s="140"/>
      <c r="I20" s="140"/>
      <c r="J20" s="140"/>
      <c r="K20" s="138"/>
      <c r="L20" s="41"/>
      <c r="M20" s="42"/>
      <c r="N20" s="1"/>
    </row>
    <row r="21" spans="2:14">
      <c r="B21" s="1"/>
      <c r="C21" s="37">
        <v>12</v>
      </c>
      <c r="D21" s="263" t="s">
        <v>69</v>
      </c>
      <c r="E21" s="264"/>
      <c r="F21" s="264"/>
      <c r="G21" s="264"/>
      <c r="H21" s="264"/>
      <c r="I21" s="264"/>
      <c r="J21" s="264"/>
      <c r="K21" s="265"/>
      <c r="L21" s="41">
        <v>13</v>
      </c>
      <c r="M21" s="42">
        <f t="shared" si="0"/>
        <v>156</v>
      </c>
      <c r="N21" s="1"/>
    </row>
    <row r="22" spans="2:14">
      <c r="B22" s="1"/>
      <c r="C22" s="37"/>
      <c r="D22" s="244"/>
      <c r="E22" s="245"/>
      <c r="F22" s="245"/>
      <c r="G22" s="245"/>
      <c r="H22" s="245"/>
      <c r="I22" s="245"/>
      <c r="J22" s="245"/>
      <c r="K22" s="246"/>
      <c r="L22" s="41"/>
      <c r="M22" s="42" t="str">
        <f t="shared" si="0"/>
        <v/>
      </c>
      <c r="N22" s="1"/>
    </row>
    <row r="23" spans="2:14">
      <c r="B23" s="1"/>
      <c r="C23" s="37"/>
      <c r="D23" s="136"/>
      <c r="E23" s="137"/>
      <c r="F23" s="137"/>
      <c r="G23" s="137"/>
      <c r="H23" s="137"/>
      <c r="I23" s="137"/>
      <c r="J23" s="137"/>
      <c r="K23" s="138"/>
      <c r="L23" s="41"/>
      <c r="M23" s="42" t="str">
        <f t="shared" si="0"/>
        <v/>
      </c>
      <c r="N23" s="1"/>
    </row>
    <row r="24" spans="2:14">
      <c r="B24" s="1"/>
      <c r="C24" s="37"/>
      <c r="D24" s="244"/>
      <c r="E24" s="245"/>
      <c r="F24" s="245"/>
      <c r="G24" s="245"/>
      <c r="H24" s="245"/>
      <c r="I24" s="245"/>
      <c r="J24" s="245"/>
      <c r="K24" s="246"/>
      <c r="L24" s="41"/>
      <c r="M24" s="42" t="str">
        <f t="shared" si="0"/>
        <v/>
      </c>
      <c r="N24" s="1"/>
    </row>
    <row r="25" spans="2:14">
      <c r="B25" s="1"/>
      <c r="C25" s="37"/>
      <c r="D25" s="136"/>
      <c r="E25" s="137"/>
      <c r="F25" s="137"/>
      <c r="G25" s="137"/>
      <c r="H25" s="137"/>
      <c r="I25" s="137"/>
      <c r="J25" s="137"/>
      <c r="K25" s="138"/>
      <c r="L25" s="41"/>
      <c r="M25" s="42" t="str">
        <f t="shared" si="0"/>
        <v/>
      </c>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136"/>
      <c r="E28" s="137"/>
      <c r="F28" s="137"/>
      <c r="G28" s="137"/>
      <c r="H28" s="137"/>
      <c r="I28" s="137"/>
      <c r="J28" s="137"/>
      <c r="K28" s="138"/>
      <c r="L28" s="41"/>
      <c r="M28" s="42"/>
      <c r="N28" s="1"/>
    </row>
    <row r="29" spans="2:14">
      <c r="B29" s="1"/>
      <c r="C29" s="37"/>
      <c r="D29" s="136"/>
      <c r="E29" s="137"/>
      <c r="F29" s="137"/>
      <c r="G29" s="137"/>
      <c r="H29" s="137"/>
      <c r="I29" s="137"/>
      <c r="J29" s="137"/>
      <c r="K29" s="138"/>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136"/>
      <c r="E33" s="137"/>
      <c r="F33" s="137"/>
      <c r="G33" s="137"/>
      <c r="H33" s="137"/>
      <c r="I33" s="137"/>
      <c r="J33" s="137"/>
      <c r="K33" s="138"/>
      <c r="L33" s="41"/>
      <c r="M33" s="42"/>
      <c r="N33" s="1"/>
    </row>
    <row r="34" spans="2:14">
      <c r="B34" s="1"/>
      <c r="C34" s="37"/>
      <c r="D34" s="136"/>
      <c r="E34" s="137"/>
      <c r="F34" s="137"/>
      <c r="G34" s="137"/>
      <c r="H34" s="137"/>
      <c r="I34" s="137"/>
      <c r="J34" s="137"/>
      <c r="K34" s="138"/>
      <c r="L34" s="41"/>
      <c r="M34" s="42"/>
      <c r="N34" s="1"/>
    </row>
    <row r="35" spans="2:14">
      <c r="B35" s="1"/>
      <c r="C35" s="37"/>
      <c r="D35" s="244"/>
      <c r="E35" s="245"/>
      <c r="F35" s="245"/>
      <c r="G35" s="245"/>
      <c r="H35" s="245"/>
      <c r="I35" s="245"/>
      <c r="J35" s="245"/>
      <c r="K35" s="246"/>
      <c r="L35" s="41"/>
      <c r="M35" s="42" t="str">
        <f t="shared" si="0"/>
        <v/>
      </c>
      <c r="N35" s="1"/>
    </row>
    <row r="36" spans="2:14">
      <c r="B36" s="1"/>
      <c r="C36" s="37"/>
      <c r="D36" s="136"/>
      <c r="E36" s="137"/>
      <c r="F36" s="137"/>
      <c r="G36" s="137"/>
      <c r="H36" s="137"/>
      <c r="I36" s="137"/>
      <c r="J36" s="137"/>
      <c r="K36" s="138"/>
      <c r="L36" s="41"/>
      <c r="M36" s="42"/>
      <c r="N36" s="1"/>
    </row>
    <row r="37" spans="2:14">
      <c r="B37" s="1"/>
      <c r="C37" s="37"/>
      <c r="D37" s="136"/>
      <c r="E37" s="137"/>
      <c r="F37" s="137"/>
      <c r="G37" s="137"/>
      <c r="H37" s="137"/>
      <c r="I37" s="137"/>
      <c r="J37" s="137"/>
      <c r="K37" s="138"/>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136"/>
      <c r="E40" s="137"/>
      <c r="F40" s="137"/>
      <c r="G40" s="137"/>
      <c r="H40" s="137"/>
      <c r="I40" s="137"/>
      <c r="J40" s="137"/>
      <c r="K40" s="138"/>
      <c r="L40" s="41"/>
      <c r="M40" s="42"/>
      <c r="N40" s="1"/>
    </row>
    <row r="41" spans="2:14">
      <c r="B41" s="1"/>
      <c r="C41" s="37"/>
      <c r="D41" s="244"/>
      <c r="E41" s="245"/>
      <c r="F41" s="245"/>
      <c r="G41" s="245"/>
      <c r="H41" s="245"/>
      <c r="I41" s="245"/>
      <c r="J41" s="245"/>
      <c r="K41" s="246"/>
      <c r="L41" s="41"/>
      <c r="M41" s="42" t="str">
        <f t="shared" si="0"/>
        <v/>
      </c>
      <c r="N41" s="1"/>
    </row>
    <row r="42" spans="2:14">
      <c r="B42" s="1"/>
      <c r="C42" s="37"/>
      <c r="D42" s="136"/>
      <c r="E42" s="137"/>
      <c r="F42" s="137"/>
      <c r="G42" s="137"/>
      <c r="H42" s="137"/>
      <c r="I42" s="137"/>
      <c r="J42" s="137"/>
      <c r="K42" s="138"/>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136"/>
      <c r="E44" s="137"/>
      <c r="F44" s="137"/>
      <c r="G44" s="137"/>
      <c r="H44" s="137"/>
      <c r="I44" s="137"/>
      <c r="J44" s="137"/>
      <c r="K44" s="138"/>
      <c r="L44" s="41"/>
      <c r="M44" s="42"/>
      <c r="N44" s="1"/>
    </row>
    <row r="45" spans="2:14">
      <c r="B45" s="1"/>
      <c r="C45" s="37"/>
      <c r="D45" s="244"/>
      <c r="E45" s="250"/>
      <c r="F45" s="250"/>
      <c r="G45" s="250"/>
      <c r="H45" s="250"/>
      <c r="I45" s="250"/>
      <c r="J45" s="250"/>
      <c r="K45" s="246"/>
      <c r="L45" s="41"/>
      <c r="M45" s="42" t="str">
        <f t="shared" si="0"/>
        <v/>
      </c>
      <c r="N45" s="1"/>
    </row>
    <row r="46" spans="2:14">
      <c r="B46" s="1"/>
      <c r="C46" s="37"/>
      <c r="D46" s="136"/>
      <c r="E46" s="140"/>
      <c r="F46" s="140"/>
      <c r="G46" s="140"/>
      <c r="H46" s="140"/>
      <c r="I46" s="140"/>
      <c r="J46" s="140"/>
      <c r="K46" s="138"/>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468</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468</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64:L66"/>
    <mergeCell ref="D45:K45"/>
    <mergeCell ref="D47:K47"/>
    <mergeCell ref="D51:G56"/>
    <mergeCell ref="J54:M56"/>
    <mergeCell ref="C58:M61"/>
    <mergeCell ref="C63:M63"/>
    <mergeCell ref="D43:K43"/>
    <mergeCell ref="D22:K22"/>
    <mergeCell ref="D24:K24"/>
    <mergeCell ref="D26:K26"/>
    <mergeCell ref="D27:K27"/>
    <mergeCell ref="D30:K30"/>
    <mergeCell ref="D31:K31"/>
    <mergeCell ref="D32:K32"/>
    <mergeCell ref="D35:K35"/>
    <mergeCell ref="D38:K38"/>
    <mergeCell ref="D39:K39"/>
    <mergeCell ref="D41:K41"/>
    <mergeCell ref="D21:K21"/>
    <mergeCell ref="H3:K6"/>
    <mergeCell ref="D14:H14"/>
    <mergeCell ref="D16:H16"/>
    <mergeCell ref="D18:K18"/>
    <mergeCell ref="D19:K19"/>
  </mergeCells>
  <dataValidations count="9">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A45BCA95-E6BB-447D-AC5C-91FA87593243}"/>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FA6AABB7-AAD3-4D13-9D44-AD41852C6BBA}"/>
    <dataValidation errorStyle="warning" allowBlank="1" showInputMessage="1" errorTitle="State" promptTitle="State" prompt="Enter the state abbreviation into this cell." sqref="F15" xr:uid="{144127E8-61C3-4E2B-8D84-031167112697}"/>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E5007ABD-C53B-4EEE-8C38-E9109557054E}"/>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B39CA7F4-4DAA-4023-82A8-2C2693308A72}"/>
    <dataValidation allowBlank="1" showInputMessage="1" showErrorMessage="1" promptTitle="Tax Rate" prompt="To add a tax here, or to change the percentage associated with this tax, enter the tax rate in the cell to the left.  The tax rate will then be automatically calculated." sqref="L51 K50" xr:uid="{38FA841B-4475-4714-BF8A-385372DE79EC}"/>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F1D0EE70-6FFA-4CF5-93F5-1F7392DC76C5}"/>
    <dataValidation type="whole" errorStyle="warning" allowBlank="1" showErrorMessage="1" errorTitle="Quantity" error="You must enter a number in this cell." promptTitle="Quantity" sqref="C19:C47" xr:uid="{3590C34F-9560-4F53-B752-C27F891E771D}">
      <formula1>0</formula1>
      <formula2>1000000000</formula2>
    </dataValidation>
    <dataValidation type="decimal" allowBlank="1" showErrorMessage="1" errorTitle="Unit Price" error="You must enter a number into this cell." promptTitle="Unit Price" sqref="L19:L47" xr:uid="{F9F32BD8-60CE-4E33-BADA-570DCC5494E3}">
      <formula1>0</formula1>
      <formula2>1000000000</formula2>
    </dataValidation>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FD17-2FEE-4231-BFD3-D0C1B0F0472A}">
  <sheetPr>
    <pageSetUpPr fitToPage="1"/>
  </sheetPr>
  <dimension ref="A2:N66"/>
  <sheetViews>
    <sheetView topLeftCell="A11" workbookViewId="0">
      <selection activeCell="L21" sqref="L21"/>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70</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145" t="s">
        <v>36</v>
      </c>
      <c r="E13" s="145"/>
      <c r="F13" s="145"/>
      <c r="G13" s="145"/>
      <c r="H13" s="145"/>
      <c r="I13" s="21"/>
      <c r="J13" s="1"/>
      <c r="K13" s="1"/>
      <c r="L13" s="5" t="s">
        <v>1</v>
      </c>
      <c r="M13" s="50">
        <v>46085</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146" t="s">
        <v>8</v>
      </c>
      <c r="D18" s="254" t="s">
        <v>9</v>
      </c>
      <c r="E18" s="255"/>
      <c r="F18" s="255"/>
      <c r="G18" s="255"/>
      <c r="H18" s="255"/>
      <c r="I18" s="255"/>
      <c r="J18" s="255"/>
      <c r="K18" s="256"/>
      <c r="L18" s="146" t="s">
        <v>10</v>
      </c>
      <c r="M18" s="10" t="s">
        <v>11</v>
      </c>
      <c r="N18" s="1"/>
    </row>
    <row r="19" spans="2:14">
      <c r="B19" s="1"/>
      <c r="C19" s="36">
        <v>36</v>
      </c>
      <c r="D19" s="244" t="s">
        <v>51</v>
      </c>
      <c r="E19" s="245"/>
      <c r="F19" s="245"/>
      <c r="G19" s="245"/>
      <c r="H19" s="245"/>
      <c r="I19" s="245"/>
      <c r="J19" s="245"/>
      <c r="K19" s="246"/>
      <c r="L19" s="43">
        <v>13</v>
      </c>
      <c r="M19" s="45">
        <f t="shared" ref="M19:M45" si="0">IF(L19&lt;&gt;"",ROUND(L19*C19,2),"")</f>
        <v>468</v>
      </c>
      <c r="N19" s="1"/>
    </row>
    <row r="20" spans="2:14">
      <c r="B20" s="1"/>
      <c r="C20" s="37"/>
      <c r="D20" s="61"/>
      <c r="E20" s="144"/>
      <c r="F20" s="144"/>
      <c r="G20" s="144"/>
      <c r="H20" s="144"/>
      <c r="I20" s="144"/>
      <c r="J20" s="144"/>
      <c r="K20" s="143"/>
      <c r="L20" s="41"/>
      <c r="M20" s="42"/>
      <c r="N20" s="1"/>
    </row>
    <row r="21" spans="2:14">
      <c r="B21" s="1"/>
      <c r="C21" s="37"/>
      <c r="D21" s="263"/>
      <c r="E21" s="264"/>
      <c r="F21" s="264"/>
      <c r="G21" s="264"/>
      <c r="H21" s="264"/>
      <c r="I21" s="264"/>
      <c r="J21" s="264"/>
      <c r="K21" s="265"/>
      <c r="L21" s="41"/>
      <c r="M21" s="42" t="str">
        <f t="shared" si="0"/>
        <v/>
      </c>
      <c r="N21" s="1"/>
    </row>
    <row r="22" spans="2:14">
      <c r="B22" s="1"/>
      <c r="C22" s="37"/>
      <c r="D22" s="244"/>
      <c r="E22" s="245"/>
      <c r="F22" s="245"/>
      <c r="G22" s="245"/>
      <c r="H22" s="245"/>
      <c r="I22" s="245"/>
      <c r="J22" s="245"/>
      <c r="K22" s="246"/>
      <c r="L22" s="41"/>
      <c r="M22" s="42" t="str">
        <f t="shared" si="0"/>
        <v/>
      </c>
      <c r="N22" s="1"/>
    </row>
    <row r="23" spans="2:14">
      <c r="B23" s="1"/>
      <c r="C23" s="37"/>
      <c r="D23" s="141"/>
      <c r="E23" s="142"/>
      <c r="F23" s="142"/>
      <c r="G23" s="142"/>
      <c r="H23" s="142"/>
      <c r="I23" s="142"/>
      <c r="J23" s="142"/>
      <c r="K23" s="143"/>
      <c r="L23" s="41"/>
      <c r="M23" s="42" t="str">
        <f t="shared" si="0"/>
        <v/>
      </c>
      <c r="N23" s="1"/>
    </row>
    <row r="24" spans="2:14">
      <c r="B24" s="1"/>
      <c r="C24" s="37"/>
      <c r="D24" s="244"/>
      <c r="E24" s="245"/>
      <c r="F24" s="245"/>
      <c r="G24" s="245"/>
      <c r="H24" s="245"/>
      <c r="I24" s="245"/>
      <c r="J24" s="245"/>
      <c r="K24" s="246"/>
      <c r="L24" s="41"/>
      <c r="M24" s="42" t="str">
        <f t="shared" si="0"/>
        <v/>
      </c>
      <c r="N24" s="1"/>
    </row>
    <row r="25" spans="2:14">
      <c r="B25" s="1"/>
      <c r="C25" s="37"/>
      <c r="D25" s="141"/>
      <c r="E25" s="142"/>
      <c r="F25" s="142"/>
      <c r="G25" s="142"/>
      <c r="H25" s="142"/>
      <c r="I25" s="142"/>
      <c r="J25" s="142"/>
      <c r="K25" s="143"/>
      <c r="L25" s="41"/>
      <c r="M25" s="42" t="str">
        <f t="shared" si="0"/>
        <v/>
      </c>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141"/>
      <c r="E28" s="142"/>
      <c r="F28" s="142"/>
      <c r="G28" s="142"/>
      <c r="H28" s="142"/>
      <c r="I28" s="142"/>
      <c r="J28" s="142"/>
      <c r="K28" s="143"/>
      <c r="L28" s="41"/>
      <c r="M28" s="42"/>
      <c r="N28" s="1"/>
    </row>
    <row r="29" spans="2:14">
      <c r="B29" s="1"/>
      <c r="C29" s="37"/>
      <c r="D29" s="141"/>
      <c r="E29" s="142"/>
      <c r="F29" s="142"/>
      <c r="G29" s="142"/>
      <c r="H29" s="142"/>
      <c r="I29" s="142"/>
      <c r="J29" s="142"/>
      <c r="K29" s="143"/>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141"/>
      <c r="E33" s="142"/>
      <c r="F33" s="142"/>
      <c r="G33" s="142"/>
      <c r="H33" s="142"/>
      <c r="I33" s="142"/>
      <c r="J33" s="142"/>
      <c r="K33" s="143"/>
      <c r="L33" s="41"/>
      <c r="M33" s="42"/>
      <c r="N33" s="1"/>
    </row>
    <row r="34" spans="2:14">
      <c r="B34" s="1"/>
      <c r="C34" s="37"/>
      <c r="D34" s="141"/>
      <c r="E34" s="142"/>
      <c r="F34" s="142"/>
      <c r="G34" s="142"/>
      <c r="H34" s="142"/>
      <c r="I34" s="142"/>
      <c r="J34" s="142"/>
      <c r="K34" s="143"/>
      <c r="L34" s="41"/>
      <c r="M34" s="42"/>
      <c r="N34" s="1"/>
    </row>
    <row r="35" spans="2:14">
      <c r="B35" s="1"/>
      <c r="C35" s="37"/>
      <c r="D35" s="244"/>
      <c r="E35" s="245"/>
      <c r="F35" s="245"/>
      <c r="G35" s="245"/>
      <c r="H35" s="245"/>
      <c r="I35" s="245"/>
      <c r="J35" s="245"/>
      <c r="K35" s="246"/>
      <c r="L35" s="41"/>
      <c r="M35" s="42" t="str">
        <f t="shared" si="0"/>
        <v/>
      </c>
      <c r="N35" s="1"/>
    </row>
    <row r="36" spans="2:14">
      <c r="B36" s="1"/>
      <c r="C36" s="37"/>
      <c r="D36" s="141"/>
      <c r="E36" s="142"/>
      <c r="F36" s="142"/>
      <c r="G36" s="142"/>
      <c r="H36" s="142"/>
      <c r="I36" s="142"/>
      <c r="J36" s="142"/>
      <c r="K36" s="143"/>
      <c r="L36" s="41"/>
      <c r="M36" s="42"/>
      <c r="N36" s="1"/>
    </row>
    <row r="37" spans="2:14">
      <c r="B37" s="1"/>
      <c r="C37" s="37"/>
      <c r="D37" s="141"/>
      <c r="E37" s="142"/>
      <c r="F37" s="142"/>
      <c r="G37" s="142"/>
      <c r="H37" s="142"/>
      <c r="I37" s="142"/>
      <c r="J37" s="142"/>
      <c r="K37" s="143"/>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141"/>
      <c r="E40" s="142"/>
      <c r="F40" s="142"/>
      <c r="G40" s="142"/>
      <c r="H40" s="142"/>
      <c r="I40" s="142"/>
      <c r="J40" s="142"/>
      <c r="K40" s="143"/>
      <c r="L40" s="41"/>
      <c r="M40" s="42"/>
      <c r="N40" s="1"/>
    </row>
    <row r="41" spans="2:14">
      <c r="B41" s="1"/>
      <c r="C41" s="37"/>
      <c r="D41" s="244"/>
      <c r="E41" s="245"/>
      <c r="F41" s="245"/>
      <c r="G41" s="245"/>
      <c r="H41" s="245"/>
      <c r="I41" s="245"/>
      <c r="J41" s="245"/>
      <c r="K41" s="246"/>
      <c r="L41" s="41"/>
      <c r="M41" s="42" t="str">
        <f t="shared" si="0"/>
        <v/>
      </c>
      <c r="N41" s="1"/>
    </row>
    <row r="42" spans="2:14">
      <c r="B42" s="1"/>
      <c r="C42" s="37"/>
      <c r="D42" s="141"/>
      <c r="E42" s="142"/>
      <c r="F42" s="142"/>
      <c r="G42" s="142"/>
      <c r="H42" s="142"/>
      <c r="I42" s="142"/>
      <c r="J42" s="142"/>
      <c r="K42" s="143"/>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141"/>
      <c r="E44" s="142"/>
      <c r="F44" s="142"/>
      <c r="G44" s="142"/>
      <c r="H44" s="142"/>
      <c r="I44" s="142"/>
      <c r="J44" s="142"/>
      <c r="K44" s="143"/>
      <c r="L44" s="41"/>
      <c r="M44" s="42"/>
      <c r="N44" s="1"/>
    </row>
    <row r="45" spans="2:14">
      <c r="B45" s="1"/>
      <c r="C45" s="37"/>
      <c r="D45" s="244"/>
      <c r="E45" s="250"/>
      <c r="F45" s="250"/>
      <c r="G45" s="250"/>
      <c r="H45" s="250"/>
      <c r="I45" s="250"/>
      <c r="J45" s="250"/>
      <c r="K45" s="246"/>
      <c r="L45" s="41"/>
      <c r="M45" s="42" t="str">
        <f t="shared" si="0"/>
        <v/>
      </c>
      <c r="N45" s="1"/>
    </row>
    <row r="46" spans="2:14">
      <c r="B46" s="1"/>
      <c r="C46" s="37"/>
      <c r="D46" s="141"/>
      <c r="E46" s="144"/>
      <c r="F46" s="144"/>
      <c r="G46" s="144"/>
      <c r="H46" s="144"/>
      <c r="I46" s="144"/>
      <c r="J46" s="144"/>
      <c r="K46" s="143"/>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468</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468</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21:K21"/>
    <mergeCell ref="H3:K6"/>
    <mergeCell ref="D14:H14"/>
    <mergeCell ref="D16:H16"/>
    <mergeCell ref="D18:K18"/>
    <mergeCell ref="D19:K19"/>
    <mergeCell ref="D43:K43"/>
    <mergeCell ref="D22:K22"/>
    <mergeCell ref="D24:K24"/>
    <mergeCell ref="D26:K26"/>
    <mergeCell ref="D27:K27"/>
    <mergeCell ref="D30:K30"/>
    <mergeCell ref="D31:K31"/>
    <mergeCell ref="D32:K32"/>
    <mergeCell ref="D35:K35"/>
    <mergeCell ref="D38:K38"/>
    <mergeCell ref="D39:K39"/>
    <mergeCell ref="D41:K41"/>
    <mergeCell ref="D64:L66"/>
    <mergeCell ref="D45:K45"/>
    <mergeCell ref="D47:K47"/>
    <mergeCell ref="D51:G56"/>
    <mergeCell ref="J54:M56"/>
    <mergeCell ref="C58:M61"/>
    <mergeCell ref="C63:M63"/>
  </mergeCells>
  <dataValidations count="9">
    <dataValidation type="decimal" allowBlank="1" showErrorMessage="1" errorTitle="Unit Price" error="You must enter a number into this cell." promptTitle="Unit Price" sqref="L19:L47" xr:uid="{230D143E-0DD5-42A0-A9C4-1888FC5F0971}">
      <formula1>0</formula1>
      <formula2>1000000000</formula2>
    </dataValidation>
    <dataValidation type="whole" errorStyle="warning" allowBlank="1" showErrorMessage="1" errorTitle="Quantity" error="You must enter a number in this cell." promptTitle="Quantity" sqref="C19:C47" xr:uid="{60D79AEE-3615-43DA-B65E-7C70319ABADC}">
      <formula1>0</formula1>
      <formula2>1000000000</formula2>
    </dataValidation>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75D9A1A8-C1B4-4B3F-8C65-FF3B92D7FA70}"/>
    <dataValidation allowBlank="1" showInputMessage="1" showErrorMessage="1" promptTitle="Tax Rate" prompt="To add a tax here, or to change the percentage associated with this tax, enter the tax rate in the cell to the left.  The tax rate will then be automatically calculated." sqref="L51 K50" xr:uid="{4DAEACBB-83A2-4FFB-BB5C-E731208E469C}"/>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62E2ABC3-6977-46C5-955B-1EEBD60DFDBA}"/>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7FE17166-8C2E-4708-9145-7D0971A0BDC7}"/>
    <dataValidation errorStyle="warning" allowBlank="1" showInputMessage="1" errorTitle="State" promptTitle="State" prompt="Enter the state abbreviation into this cell." sqref="F15" xr:uid="{5D1436D1-E20C-40E2-87FA-B43B094E61ED}"/>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D3DBD47B-A33E-42A0-BC39-EFB4D05BD5DB}"/>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0F097589-E776-4183-ACAC-B7522E42868C}"/>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D7F5B-AF86-406B-B0AB-6D9F6FFA324C}">
  <sheetPr>
    <pageSetUpPr fitToPage="1"/>
  </sheetPr>
  <dimension ref="A2:N66"/>
  <sheetViews>
    <sheetView workbookViewId="0">
      <selection activeCell="M3" sqref="M3"/>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72</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147" t="s">
        <v>36</v>
      </c>
      <c r="E13" s="147"/>
      <c r="F13" s="147"/>
      <c r="G13" s="147"/>
      <c r="H13" s="147"/>
      <c r="I13" s="21"/>
      <c r="J13" s="1"/>
      <c r="K13" s="1"/>
      <c r="L13" s="5" t="s">
        <v>1</v>
      </c>
      <c r="M13" s="50">
        <v>46086</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151" t="s">
        <v>8</v>
      </c>
      <c r="D18" s="254" t="s">
        <v>9</v>
      </c>
      <c r="E18" s="255"/>
      <c r="F18" s="255"/>
      <c r="G18" s="255"/>
      <c r="H18" s="255"/>
      <c r="I18" s="255"/>
      <c r="J18" s="255"/>
      <c r="K18" s="256"/>
      <c r="L18" s="151" t="s">
        <v>10</v>
      </c>
      <c r="M18" s="10" t="s">
        <v>11</v>
      </c>
      <c r="N18" s="1"/>
    </row>
    <row r="19" spans="2:14">
      <c r="B19" s="1"/>
      <c r="C19" s="36">
        <v>24</v>
      </c>
      <c r="D19" s="244" t="s">
        <v>71</v>
      </c>
      <c r="E19" s="245"/>
      <c r="F19" s="245"/>
      <c r="G19" s="245"/>
      <c r="H19" s="245"/>
      <c r="I19" s="245"/>
      <c r="J19" s="245"/>
      <c r="K19" s="246"/>
      <c r="L19" s="43">
        <v>13</v>
      </c>
      <c r="M19" s="45">
        <f t="shared" ref="M19:M45" si="0">IF(L19&lt;&gt;"",ROUND(L19*C19,2),"")</f>
        <v>312</v>
      </c>
      <c r="N19" s="1"/>
    </row>
    <row r="20" spans="2:14">
      <c r="B20" s="1"/>
      <c r="C20" s="37"/>
      <c r="D20" s="61"/>
      <c r="E20" s="152"/>
      <c r="F20" s="152"/>
      <c r="G20" s="152"/>
      <c r="H20" s="152"/>
      <c r="I20" s="152"/>
      <c r="J20" s="152"/>
      <c r="K20" s="150"/>
      <c r="L20" s="41"/>
      <c r="M20" s="42"/>
      <c r="N20" s="1"/>
    </row>
    <row r="21" spans="2:14">
      <c r="B21" s="1"/>
      <c r="C21" s="37"/>
      <c r="D21" s="263"/>
      <c r="E21" s="264"/>
      <c r="F21" s="264"/>
      <c r="G21" s="264"/>
      <c r="H21" s="264"/>
      <c r="I21" s="264"/>
      <c r="J21" s="264"/>
      <c r="K21" s="265"/>
      <c r="L21" s="41"/>
      <c r="M21" s="42" t="str">
        <f t="shared" si="0"/>
        <v/>
      </c>
      <c r="N21" s="1"/>
    </row>
    <row r="22" spans="2:14">
      <c r="B22" s="1"/>
      <c r="C22" s="37"/>
      <c r="D22" s="244"/>
      <c r="E22" s="245"/>
      <c r="F22" s="245"/>
      <c r="G22" s="245"/>
      <c r="H22" s="245"/>
      <c r="I22" s="245"/>
      <c r="J22" s="245"/>
      <c r="K22" s="246"/>
      <c r="L22" s="41"/>
      <c r="M22" s="42" t="str">
        <f t="shared" si="0"/>
        <v/>
      </c>
      <c r="N22" s="1"/>
    </row>
    <row r="23" spans="2:14">
      <c r="B23" s="1"/>
      <c r="C23" s="37"/>
      <c r="D23" s="148"/>
      <c r="E23" s="149"/>
      <c r="F23" s="149"/>
      <c r="G23" s="149"/>
      <c r="H23" s="149"/>
      <c r="I23" s="149"/>
      <c r="J23" s="149"/>
      <c r="K23" s="150"/>
      <c r="L23" s="41"/>
      <c r="M23" s="42" t="str">
        <f t="shared" si="0"/>
        <v/>
      </c>
      <c r="N23" s="1"/>
    </row>
    <row r="24" spans="2:14">
      <c r="B24" s="1"/>
      <c r="C24" s="37"/>
      <c r="D24" s="244"/>
      <c r="E24" s="245"/>
      <c r="F24" s="245"/>
      <c r="G24" s="245"/>
      <c r="H24" s="245"/>
      <c r="I24" s="245"/>
      <c r="J24" s="245"/>
      <c r="K24" s="246"/>
      <c r="L24" s="41"/>
      <c r="M24" s="42" t="str">
        <f t="shared" si="0"/>
        <v/>
      </c>
      <c r="N24" s="1"/>
    </row>
    <row r="25" spans="2:14">
      <c r="B25" s="1"/>
      <c r="C25" s="37"/>
      <c r="D25" s="148"/>
      <c r="E25" s="149"/>
      <c r="F25" s="149"/>
      <c r="G25" s="149"/>
      <c r="H25" s="149"/>
      <c r="I25" s="149"/>
      <c r="J25" s="149"/>
      <c r="K25" s="150"/>
      <c r="L25" s="41"/>
      <c r="M25" s="42" t="str">
        <f t="shared" si="0"/>
        <v/>
      </c>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148"/>
      <c r="E28" s="149"/>
      <c r="F28" s="149"/>
      <c r="G28" s="149"/>
      <c r="H28" s="149"/>
      <c r="I28" s="149"/>
      <c r="J28" s="149"/>
      <c r="K28" s="150"/>
      <c r="L28" s="41"/>
      <c r="M28" s="42"/>
      <c r="N28" s="1"/>
    </row>
    <row r="29" spans="2:14">
      <c r="B29" s="1"/>
      <c r="C29" s="37"/>
      <c r="D29" s="148"/>
      <c r="E29" s="149"/>
      <c r="F29" s="149"/>
      <c r="G29" s="149"/>
      <c r="H29" s="149"/>
      <c r="I29" s="149"/>
      <c r="J29" s="149"/>
      <c r="K29" s="150"/>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148"/>
      <c r="E33" s="149"/>
      <c r="F33" s="149"/>
      <c r="G33" s="149"/>
      <c r="H33" s="149"/>
      <c r="I33" s="149"/>
      <c r="J33" s="149"/>
      <c r="K33" s="150"/>
      <c r="L33" s="41"/>
      <c r="M33" s="42"/>
      <c r="N33" s="1"/>
    </row>
    <row r="34" spans="2:14">
      <c r="B34" s="1"/>
      <c r="C34" s="37"/>
      <c r="D34" s="148"/>
      <c r="E34" s="149"/>
      <c r="F34" s="149"/>
      <c r="G34" s="149"/>
      <c r="H34" s="149"/>
      <c r="I34" s="149"/>
      <c r="J34" s="149"/>
      <c r="K34" s="150"/>
      <c r="L34" s="41"/>
      <c r="M34" s="42"/>
      <c r="N34" s="1"/>
    </row>
    <row r="35" spans="2:14">
      <c r="B35" s="1"/>
      <c r="C35" s="37"/>
      <c r="D35" s="244"/>
      <c r="E35" s="245"/>
      <c r="F35" s="245"/>
      <c r="G35" s="245"/>
      <c r="H35" s="245"/>
      <c r="I35" s="245"/>
      <c r="J35" s="245"/>
      <c r="K35" s="246"/>
      <c r="L35" s="41"/>
      <c r="M35" s="42" t="str">
        <f t="shared" si="0"/>
        <v/>
      </c>
      <c r="N35" s="1"/>
    </row>
    <row r="36" spans="2:14">
      <c r="B36" s="1"/>
      <c r="C36" s="37"/>
      <c r="D36" s="148"/>
      <c r="E36" s="149"/>
      <c r="F36" s="149"/>
      <c r="G36" s="149"/>
      <c r="H36" s="149"/>
      <c r="I36" s="149"/>
      <c r="J36" s="149"/>
      <c r="K36" s="150"/>
      <c r="L36" s="41"/>
      <c r="M36" s="42"/>
      <c r="N36" s="1"/>
    </row>
    <row r="37" spans="2:14">
      <c r="B37" s="1"/>
      <c r="C37" s="37"/>
      <c r="D37" s="148"/>
      <c r="E37" s="149"/>
      <c r="F37" s="149"/>
      <c r="G37" s="149"/>
      <c r="H37" s="149"/>
      <c r="I37" s="149"/>
      <c r="J37" s="149"/>
      <c r="K37" s="150"/>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148"/>
      <c r="E40" s="149"/>
      <c r="F40" s="149"/>
      <c r="G40" s="149"/>
      <c r="H40" s="149"/>
      <c r="I40" s="149"/>
      <c r="J40" s="149"/>
      <c r="K40" s="150"/>
      <c r="L40" s="41"/>
      <c r="M40" s="42"/>
      <c r="N40" s="1"/>
    </row>
    <row r="41" spans="2:14">
      <c r="B41" s="1"/>
      <c r="C41" s="37"/>
      <c r="D41" s="244"/>
      <c r="E41" s="245"/>
      <c r="F41" s="245"/>
      <c r="G41" s="245"/>
      <c r="H41" s="245"/>
      <c r="I41" s="245"/>
      <c r="J41" s="245"/>
      <c r="K41" s="246"/>
      <c r="L41" s="41"/>
      <c r="M41" s="42" t="str">
        <f t="shared" si="0"/>
        <v/>
      </c>
      <c r="N41" s="1"/>
    </row>
    <row r="42" spans="2:14">
      <c r="B42" s="1"/>
      <c r="C42" s="37"/>
      <c r="D42" s="148"/>
      <c r="E42" s="149"/>
      <c r="F42" s="149"/>
      <c r="G42" s="149"/>
      <c r="H42" s="149"/>
      <c r="I42" s="149"/>
      <c r="J42" s="149"/>
      <c r="K42" s="150"/>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148"/>
      <c r="E44" s="149"/>
      <c r="F44" s="149"/>
      <c r="G44" s="149"/>
      <c r="H44" s="149"/>
      <c r="I44" s="149"/>
      <c r="J44" s="149"/>
      <c r="K44" s="150"/>
      <c r="L44" s="41"/>
      <c r="M44" s="42"/>
      <c r="N44" s="1"/>
    </row>
    <row r="45" spans="2:14">
      <c r="B45" s="1"/>
      <c r="C45" s="37"/>
      <c r="D45" s="244"/>
      <c r="E45" s="250"/>
      <c r="F45" s="250"/>
      <c r="G45" s="250"/>
      <c r="H45" s="250"/>
      <c r="I45" s="250"/>
      <c r="J45" s="250"/>
      <c r="K45" s="246"/>
      <c r="L45" s="41"/>
      <c r="M45" s="42" t="str">
        <f t="shared" si="0"/>
        <v/>
      </c>
      <c r="N45" s="1"/>
    </row>
    <row r="46" spans="2:14">
      <c r="B46" s="1"/>
      <c r="C46" s="37"/>
      <c r="D46" s="148"/>
      <c r="E46" s="152"/>
      <c r="F46" s="152"/>
      <c r="G46" s="152"/>
      <c r="H46" s="152"/>
      <c r="I46" s="152"/>
      <c r="J46" s="152"/>
      <c r="K46" s="150"/>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312</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312</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64:L66"/>
    <mergeCell ref="D45:K45"/>
    <mergeCell ref="D47:K47"/>
    <mergeCell ref="D51:G56"/>
    <mergeCell ref="J54:M56"/>
    <mergeCell ref="C58:M61"/>
    <mergeCell ref="C63:M63"/>
    <mergeCell ref="D43:K43"/>
    <mergeCell ref="D22:K22"/>
    <mergeCell ref="D24:K24"/>
    <mergeCell ref="D26:K26"/>
    <mergeCell ref="D27:K27"/>
    <mergeCell ref="D30:K30"/>
    <mergeCell ref="D31:K31"/>
    <mergeCell ref="D32:K32"/>
    <mergeCell ref="D35:K35"/>
    <mergeCell ref="D38:K38"/>
    <mergeCell ref="D39:K39"/>
    <mergeCell ref="D41:K41"/>
    <mergeCell ref="D21:K21"/>
    <mergeCell ref="H3:K6"/>
    <mergeCell ref="D14:H14"/>
    <mergeCell ref="D16:H16"/>
    <mergeCell ref="D18:K18"/>
    <mergeCell ref="D19:K19"/>
  </mergeCells>
  <dataValidations count="9">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755ACE45-9E4A-45AB-9E2A-49327AAB75C3}"/>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716EB4C7-52D8-49FE-922A-9872ED96ED19}"/>
    <dataValidation errorStyle="warning" allowBlank="1" showInputMessage="1" errorTitle="State" promptTitle="State" prompt="Enter the state abbreviation into this cell." sqref="F15" xr:uid="{27A02F9D-C0BE-41C5-9C4F-4451011C7557}"/>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664C3CD6-3713-49FA-84BA-8B1662C2F7ED}"/>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80FC6550-990D-4351-BABE-514A5746BAFE}"/>
    <dataValidation allowBlank="1" showInputMessage="1" showErrorMessage="1" promptTitle="Tax Rate" prompt="To add a tax here, or to change the percentage associated with this tax, enter the tax rate in the cell to the left.  The tax rate will then be automatically calculated." sqref="L51 K50" xr:uid="{BE2767F0-4FC4-4DC1-ABC5-6FD3884DE8F9}"/>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1D73CF8B-4480-4571-B497-4B364C4B4F88}"/>
    <dataValidation type="whole" errorStyle="warning" allowBlank="1" showErrorMessage="1" errorTitle="Quantity" error="You must enter a number in this cell." promptTitle="Quantity" sqref="C19:C47" xr:uid="{9ED5BF04-DF74-46A0-AE6C-57046FFBCE5E}">
      <formula1>0</formula1>
      <formula2>1000000000</formula2>
    </dataValidation>
    <dataValidation type="decimal" allowBlank="1" showErrorMessage="1" errorTitle="Unit Price" error="You must enter a number into this cell." promptTitle="Unit Price" sqref="L19:L47" xr:uid="{4BB4CEC1-A5E9-4D8C-928C-7BE09F583410}">
      <formula1>0</formula1>
      <formula2>1000000000</formula2>
    </dataValidation>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7A3D6-AE8B-4BB3-9E2C-3EDD5C074864}">
  <sheetPr>
    <pageSetUpPr fitToPage="1"/>
  </sheetPr>
  <dimension ref="A2:N66"/>
  <sheetViews>
    <sheetView topLeftCell="A10" workbookViewId="0">
      <selection activeCell="M13" sqref="M13"/>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73</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157" t="s">
        <v>36</v>
      </c>
      <c r="E13" s="157"/>
      <c r="F13" s="157"/>
      <c r="G13" s="157"/>
      <c r="H13" s="157"/>
      <c r="I13" s="21"/>
      <c r="J13" s="1"/>
      <c r="K13" s="1"/>
      <c r="L13" s="5" t="s">
        <v>1</v>
      </c>
      <c r="M13" s="50">
        <v>46101</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158" t="s">
        <v>8</v>
      </c>
      <c r="D18" s="254" t="s">
        <v>9</v>
      </c>
      <c r="E18" s="255"/>
      <c r="F18" s="255"/>
      <c r="G18" s="255"/>
      <c r="H18" s="255"/>
      <c r="I18" s="255"/>
      <c r="J18" s="255"/>
      <c r="K18" s="256"/>
      <c r="L18" s="158" t="s">
        <v>10</v>
      </c>
      <c r="M18" s="10" t="s">
        <v>11</v>
      </c>
      <c r="N18" s="1"/>
    </row>
    <row r="19" spans="2:14">
      <c r="B19" s="1"/>
      <c r="C19" s="36">
        <v>36</v>
      </c>
      <c r="D19" s="244" t="s">
        <v>51</v>
      </c>
      <c r="E19" s="245"/>
      <c r="F19" s="245"/>
      <c r="G19" s="245"/>
      <c r="H19" s="245"/>
      <c r="I19" s="245"/>
      <c r="J19" s="245"/>
      <c r="K19" s="246"/>
      <c r="L19" s="43">
        <v>13</v>
      </c>
      <c r="M19" s="45">
        <f t="shared" ref="M19:M45" si="0">IF(L19&lt;&gt;"",ROUND(L19*C19,2),"")</f>
        <v>468</v>
      </c>
      <c r="N19" s="1"/>
    </row>
    <row r="20" spans="2:14">
      <c r="B20" s="1"/>
      <c r="C20" s="37"/>
      <c r="D20" s="61"/>
      <c r="E20" s="156"/>
      <c r="F20" s="156"/>
      <c r="G20" s="156"/>
      <c r="H20" s="156"/>
      <c r="I20" s="156"/>
      <c r="J20" s="156"/>
      <c r="K20" s="155"/>
      <c r="L20" s="41"/>
      <c r="M20" s="42"/>
      <c r="N20" s="1"/>
    </row>
    <row r="21" spans="2:14">
      <c r="B21" s="1"/>
      <c r="C21" s="37">
        <v>24</v>
      </c>
      <c r="D21" s="263" t="s">
        <v>74</v>
      </c>
      <c r="E21" s="264"/>
      <c r="F21" s="264"/>
      <c r="G21" s="264"/>
      <c r="H21" s="264"/>
      <c r="I21" s="264"/>
      <c r="J21" s="264"/>
      <c r="K21" s="265"/>
      <c r="L21" s="41">
        <v>6</v>
      </c>
      <c r="M21" s="42">
        <f t="shared" si="0"/>
        <v>144</v>
      </c>
      <c r="N21" s="1"/>
    </row>
    <row r="22" spans="2:14">
      <c r="B22" s="1"/>
      <c r="C22" s="37"/>
      <c r="D22" s="244"/>
      <c r="E22" s="245"/>
      <c r="F22" s="245"/>
      <c r="G22" s="245"/>
      <c r="H22" s="245"/>
      <c r="I22" s="245"/>
      <c r="J22" s="245"/>
      <c r="K22" s="246"/>
      <c r="L22" s="41"/>
      <c r="M22" s="42" t="str">
        <f t="shared" si="0"/>
        <v/>
      </c>
      <c r="N22" s="1"/>
    </row>
    <row r="23" spans="2:14">
      <c r="B23" s="1"/>
      <c r="C23" s="37"/>
      <c r="D23" s="153"/>
      <c r="E23" s="154"/>
      <c r="F23" s="154"/>
      <c r="G23" s="154"/>
      <c r="H23" s="154"/>
      <c r="I23" s="154"/>
      <c r="J23" s="154"/>
      <c r="K23" s="155"/>
      <c r="L23" s="41"/>
      <c r="M23" s="42" t="str">
        <f t="shared" si="0"/>
        <v/>
      </c>
      <c r="N23" s="1"/>
    </row>
    <row r="24" spans="2:14">
      <c r="B24" s="1"/>
      <c r="C24" s="37"/>
      <c r="D24" s="244"/>
      <c r="E24" s="245"/>
      <c r="F24" s="245"/>
      <c r="G24" s="245"/>
      <c r="H24" s="245"/>
      <c r="I24" s="245"/>
      <c r="J24" s="245"/>
      <c r="K24" s="246"/>
      <c r="L24" s="41"/>
      <c r="M24" s="42" t="str">
        <f t="shared" si="0"/>
        <v/>
      </c>
      <c r="N24" s="1"/>
    </row>
    <row r="25" spans="2:14">
      <c r="B25" s="1"/>
      <c r="C25" s="37"/>
      <c r="D25" s="153"/>
      <c r="E25" s="154"/>
      <c r="F25" s="154"/>
      <c r="G25" s="154"/>
      <c r="H25" s="154"/>
      <c r="I25" s="154"/>
      <c r="J25" s="154"/>
      <c r="K25" s="155"/>
      <c r="L25" s="41"/>
      <c r="M25" s="42" t="str">
        <f t="shared" si="0"/>
        <v/>
      </c>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153"/>
      <c r="E28" s="154"/>
      <c r="F28" s="154"/>
      <c r="G28" s="154"/>
      <c r="H28" s="154"/>
      <c r="I28" s="154"/>
      <c r="J28" s="154"/>
      <c r="K28" s="155"/>
      <c r="L28" s="41"/>
      <c r="M28" s="42"/>
      <c r="N28" s="1"/>
    </row>
    <row r="29" spans="2:14">
      <c r="B29" s="1"/>
      <c r="C29" s="37"/>
      <c r="D29" s="153"/>
      <c r="E29" s="154"/>
      <c r="F29" s="154"/>
      <c r="G29" s="154"/>
      <c r="H29" s="154"/>
      <c r="I29" s="154"/>
      <c r="J29" s="154"/>
      <c r="K29" s="155"/>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153"/>
      <c r="E33" s="154"/>
      <c r="F33" s="154"/>
      <c r="G33" s="154"/>
      <c r="H33" s="154"/>
      <c r="I33" s="154"/>
      <c r="J33" s="154"/>
      <c r="K33" s="155"/>
      <c r="L33" s="41"/>
      <c r="M33" s="42"/>
      <c r="N33" s="1"/>
    </row>
    <row r="34" spans="2:14">
      <c r="B34" s="1"/>
      <c r="C34" s="37"/>
      <c r="D34" s="153"/>
      <c r="E34" s="154"/>
      <c r="F34" s="154"/>
      <c r="G34" s="154"/>
      <c r="H34" s="154"/>
      <c r="I34" s="154"/>
      <c r="J34" s="154"/>
      <c r="K34" s="155"/>
      <c r="L34" s="41"/>
      <c r="M34" s="42"/>
      <c r="N34" s="1"/>
    </row>
    <row r="35" spans="2:14">
      <c r="B35" s="1"/>
      <c r="C35" s="37"/>
      <c r="D35" s="244"/>
      <c r="E35" s="245"/>
      <c r="F35" s="245"/>
      <c r="G35" s="245"/>
      <c r="H35" s="245"/>
      <c r="I35" s="245"/>
      <c r="J35" s="245"/>
      <c r="K35" s="246"/>
      <c r="L35" s="41"/>
      <c r="M35" s="42" t="str">
        <f t="shared" si="0"/>
        <v/>
      </c>
      <c r="N35" s="1"/>
    </row>
    <row r="36" spans="2:14">
      <c r="B36" s="1"/>
      <c r="C36" s="37"/>
      <c r="D36" s="153"/>
      <c r="E36" s="154"/>
      <c r="F36" s="154"/>
      <c r="G36" s="154"/>
      <c r="H36" s="154"/>
      <c r="I36" s="154"/>
      <c r="J36" s="154"/>
      <c r="K36" s="155"/>
      <c r="L36" s="41"/>
      <c r="M36" s="42"/>
      <c r="N36" s="1"/>
    </row>
    <row r="37" spans="2:14">
      <c r="B37" s="1"/>
      <c r="C37" s="37"/>
      <c r="D37" s="153"/>
      <c r="E37" s="154"/>
      <c r="F37" s="154"/>
      <c r="G37" s="154"/>
      <c r="H37" s="154"/>
      <c r="I37" s="154"/>
      <c r="J37" s="154"/>
      <c r="K37" s="155"/>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153"/>
      <c r="E40" s="154"/>
      <c r="F40" s="154"/>
      <c r="G40" s="154"/>
      <c r="H40" s="154"/>
      <c r="I40" s="154"/>
      <c r="J40" s="154"/>
      <c r="K40" s="155"/>
      <c r="L40" s="41"/>
      <c r="M40" s="42"/>
      <c r="N40" s="1"/>
    </row>
    <row r="41" spans="2:14">
      <c r="B41" s="1"/>
      <c r="C41" s="37"/>
      <c r="D41" s="244"/>
      <c r="E41" s="245"/>
      <c r="F41" s="245"/>
      <c r="G41" s="245"/>
      <c r="H41" s="245"/>
      <c r="I41" s="245"/>
      <c r="J41" s="245"/>
      <c r="K41" s="246"/>
      <c r="L41" s="41"/>
      <c r="M41" s="42" t="str">
        <f t="shared" si="0"/>
        <v/>
      </c>
      <c r="N41" s="1"/>
    </row>
    <row r="42" spans="2:14">
      <c r="B42" s="1"/>
      <c r="C42" s="37"/>
      <c r="D42" s="153"/>
      <c r="E42" s="154"/>
      <c r="F42" s="154"/>
      <c r="G42" s="154"/>
      <c r="H42" s="154"/>
      <c r="I42" s="154"/>
      <c r="J42" s="154"/>
      <c r="K42" s="155"/>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153"/>
      <c r="E44" s="154"/>
      <c r="F44" s="154"/>
      <c r="G44" s="154"/>
      <c r="H44" s="154"/>
      <c r="I44" s="154"/>
      <c r="J44" s="154"/>
      <c r="K44" s="155"/>
      <c r="L44" s="41"/>
      <c r="M44" s="42"/>
      <c r="N44" s="1"/>
    </row>
    <row r="45" spans="2:14">
      <c r="B45" s="1"/>
      <c r="C45" s="37"/>
      <c r="D45" s="244"/>
      <c r="E45" s="250"/>
      <c r="F45" s="250"/>
      <c r="G45" s="250"/>
      <c r="H45" s="250"/>
      <c r="I45" s="250"/>
      <c r="J45" s="250"/>
      <c r="K45" s="246"/>
      <c r="L45" s="41"/>
      <c r="M45" s="42" t="str">
        <f t="shared" si="0"/>
        <v/>
      </c>
      <c r="N45" s="1"/>
    </row>
    <row r="46" spans="2:14">
      <c r="B46" s="1"/>
      <c r="C46" s="37"/>
      <c r="D46" s="153"/>
      <c r="E46" s="156"/>
      <c r="F46" s="156"/>
      <c r="G46" s="156"/>
      <c r="H46" s="156"/>
      <c r="I46" s="156"/>
      <c r="J46" s="156"/>
      <c r="K46" s="155"/>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612</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612</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21:K21"/>
    <mergeCell ref="H3:K6"/>
    <mergeCell ref="D14:H14"/>
    <mergeCell ref="D16:H16"/>
    <mergeCell ref="D18:K18"/>
    <mergeCell ref="D19:K19"/>
    <mergeCell ref="D43:K43"/>
    <mergeCell ref="D22:K22"/>
    <mergeCell ref="D24:K24"/>
    <mergeCell ref="D26:K26"/>
    <mergeCell ref="D27:K27"/>
    <mergeCell ref="D30:K30"/>
    <mergeCell ref="D31:K31"/>
    <mergeCell ref="D32:K32"/>
    <mergeCell ref="D35:K35"/>
    <mergeCell ref="D38:K38"/>
    <mergeCell ref="D39:K39"/>
    <mergeCell ref="D41:K41"/>
    <mergeCell ref="D64:L66"/>
    <mergeCell ref="D45:K45"/>
    <mergeCell ref="D47:K47"/>
    <mergeCell ref="D51:G56"/>
    <mergeCell ref="J54:M56"/>
    <mergeCell ref="C58:M61"/>
    <mergeCell ref="C63:M63"/>
  </mergeCells>
  <dataValidations count="9">
    <dataValidation type="decimal" allowBlank="1" showErrorMessage="1" errorTitle="Unit Price" error="You must enter a number into this cell." promptTitle="Unit Price" sqref="L19:L47" xr:uid="{7AAF39AF-AF76-405D-B1B8-EFE8B8197183}">
      <formula1>0</formula1>
      <formula2>1000000000</formula2>
    </dataValidation>
    <dataValidation type="whole" errorStyle="warning" allowBlank="1" showErrorMessage="1" errorTitle="Quantity" error="You must enter a number in this cell." promptTitle="Quantity" sqref="C19:C47" xr:uid="{59C5C385-045B-45C7-939D-7464153A7AC1}">
      <formula1>0</formula1>
      <formula2>1000000000</formula2>
    </dataValidation>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D4EAC274-AC0D-4E78-8CF7-DA322E02A84E}"/>
    <dataValidation allowBlank="1" showInputMessage="1" showErrorMessage="1" promptTitle="Tax Rate" prompt="To add a tax here, or to change the percentage associated with this tax, enter the tax rate in the cell to the left.  The tax rate will then be automatically calculated." sqref="L51 K50" xr:uid="{0691F024-83F1-44AD-89F3-1EBC468DAD1E}"/>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120C62C6-EDA6-4B7E-9319-959DCF00FA7B}"/>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02AF1FBF-4082-4B48-954D-D84C7182FEBA}"/>
    <dataValidation errorStyle="warning" allowBlank="1" showInputMessage="1" errorTitle="State" promptTitle="State" prompt="Enter the state abbreviation into this cell." sqref="F15" xr:uid="{BBE65522-D36F-4DBF-80AF-1003646DDDCA}"/>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B2154F7C-F5BE-4352-B92B-B09AB98CCE6B}"/>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016E5DCC-49CA-4752-A290-674E7FF4153B}"/>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1DE96-21BD-444F-9DDE-453EEB6D7D48}">
  <sheetPr>
    <pageSetUpPr fitToPage="1"/>
  </sheetPr>
  <dimension ref="A2:N66"/>
  <sheetViews>
    <sheetView topLeftCell="A3" workbookViewId="0">
      <selection activeCell="M25" sqref="M25"/>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75</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159" t="s">
        <v>36</v>
      </c>
      <c r="E13" s="159"/>
      <c r="F13" s="159"/>
      <c r="G13" s="159"/>
      <c r="H13" s="159"/>
      <c r="I13" s="21"/>
      <c r="J13" s="1"/>
      <c r="K13" s="1"/>
      <c r="L13" s="5" t="s">
        <v>1</v>
      </c>
      <c r="M13" s="50">
        <v>46111</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163" t="s">
        <v>8</v>
      </c>
      <c r="D18" s="254" t="s">
        <v>9</v>
      </c>
      <c r="E18" s="255"/>
      <c r="F18" s="255"/>
      <c r="G18" s="255"/>
      <c r="H18" s="255"/>
      <c r="I18" s="255"/>
      <c r="J18" s="255"/>
      <c r="K18" s="256"/>
      <c r="L18" s="163" t="s">
        <v>10</v>
      </c>
      <c r="M18" s="10" t="s">
        <v>11</v>
      </c>
      <c r="N18" s="1"/>
    </row>
    <row r="19" spans="2:14">
      <c r="B19" s="1"/>
      <c r="C19" s="36">
        <v>24</v>
      </c>
      <c r="D19" s="244" t="s">
        <v>51</v>
      </c>
      <c r="E19" s="245"/>
      <c r="F19" s="245"/>
      <c r="G19" s="245"/>
      <c r="H19" s="245"/>
      <c r="I19" s="245"/>
      <c r="J19" s="245"/>
      <c r="K19" s="246"/>
      <c r="L19" s="43">
        <v>13</v>
      </c>
      <c r="M19" s="45">
        <f t="shared" ref="M19:M45" si="0">IF(L19&lt;&gt;"",ROUND(L19*C19,2),"")</f>
        <v>312</v>
      </c>
      <c r="N19" s="1"/>
    </row>
    <row r="20" spans="2:14">
      <c r="B20" s="1"/>
      <c r="C20" s="37"/>
      <c r="D20" s="61"/>
      <c r="E20" s="164"/>
      <c r="F20" s="164"/>
      <c r="G20" s="164"/>
      <c r="H20" s="164"/>
      <c r="I20" s="164"/>
      <c r="J20" s="164"/>
      <c r="K20" s="162"/>
      <c r="L20" s="41"/>
      <c r="M20" s="42"/>
      <c r="N20" s="1"/>
    </row>
    <row r="21" spans="2:14">
      <c r="B21" s="1"/>
      <c r="C21" s="37">
        <v>6</v>
      </c>
      <c r="D21" s="263" t="s">
        <v>76</v>
      </c>
      <c r="E21" s="264"/>
      <c r="F21" s="264"/>
      <c r="G21" s="264"/>
      <c r="H21" s="264"/>
      <c r="I21" s="264"/>
      <c r="J21" s="264"/>
      <c r="K21" s="265"/>
      <c r="L21" s="41">
        <v>13</v>
      </c>
      <c r="M21" s="42">
        <f t="shared" si="0"/>
        <v>78</v>
      </c>
      <c r="N21" s="1"/>
    </row>
    <row r="22" spans="2:14">
      <c r="B22" s="1"/>
      <c r="C22" s="37"/>
      <c r="D22" s="244"/>
      <c r="E22" s="245"/>
      <c r="F22" s="245"/>
      <c r="G22" s="245"/>
      <c r="H22" s="245"/>
      <c r="I22" s="245"/>
      <c r="J22" s="245"/>
      <c r="K22" s="246"/>
      <c r="L22" s="41"/>
      <c r="M22" s="42" t="str">
        <f t="shared" si="0"/>
        <v/>
      </c>
      <c r="N22" s="1"/>
    </row>
    <row r="23" spans="2:14">
      <c r="B23" s="1"/>
      <c r="C23" s="37">
        <v>24</v>
      </c>
      <c r="D23" s="160" t="s">
        <v>77</v>
      </c>
      <c r="E23" s="161"/>
      <c r="F23" s="161"/>
      <c r="G23" s="161"/>
      <c r="H23" s="161"/>
      <c r="I23" s="161"/>
      <c r="J23" s="161"/>
      <c r="K23" s="162"/>
      <c r="L23" s="41">
        <v>15</v>
      </c>
      <c r="M23" s="42">
        <f t="shared" si="0"/>
        <v>360</v>
      </c>
      <c r="N23" s="1"/>
    </row>
    <row r="24" spans="2:14">
      <c r="B24" s="1"/>
      <c r="C24" s="37"/>
      <c r="D24" s="244"/>
      <c r="E24" s="245"/>
      <c r="F24" s="245"/>
      <c r="G24" s="245"/>
      <c r="H24" s="245"/>
      <c r="I24" s="245"/>
      <c r="J24" s="245"/>
      <c r="K24" s="246"/>
      <c r="L24" s="41"/>
      <c r="M24" s="42" t="str">
        <f t="shared" si="0"/>
        <v/>
      </c>
      <c r="N24" s="1"/>
    </row>
    <row r="25" spans="2:14">
      <c r="B25" s="1"/>
      <c r="C25" s="37"/>
      <c r="D25" s="160"/>
      <c r="E25" s="161"/>
      <c r="F25" s="161"/>
      <c r="G25" s="161"/>
      <c r="H25" s="161"/>
      <c r="I25" s="161"/>
      <c r="J25" s="161"/>
      <c r="K25" s="162"/>
      <c r="L25" s="41"/>
      <c r="M25" s="42" t="str">
        <f t="shared" si="0"/>
        <v/>
      </c>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160"/>
      <c r="E28" s="161"/>
      <c r="F28" s="161"/>
      <c r="G28" s="161"/>
      <c r="H28" s="161"/>
      <c r="I28" s="161"/>
      <c r="J28" s="161"/>
      <c r="K28" s="162"/>
      <c r="L28" s="41"/>
      <c r="M28" s="42"/>
      <c r="N28" s="1"/>
    </row>
    <row r="29" spans="2:14">
      <c r="B29" s="1"/>
      <c r="C29" s="37"/>
      <c r="D29" s="160"/>
      <c r="E29" s="161"/>
      <c r="F29" s="161"/>
      <c r="G29" s="161"/>
      <c r="H29" s="161"/>
      <c r="I29" s="161"/>
      <c r="J29" s="161"/>
      <c r="K29" s="162"/>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160"/>
      <c r="E33" s="161"/>
      <c r="F33" s="161"/>
      <c r="G33" s="161"/>
      <c r="H33" s="161"/>
      <c r="I33" s="161"/>
      <c r="J33" s="161"/>
      <c r="K33" s="162"/>
      <c r="L33" s="41"/>
      <c r="M33" s="42"/>
      <c r="N33" s="1"/>
    </row>
    <row r="34" spans="2:14">
      <c r="B34" s="1"/>
      <c r="C34" s="37"/>
      <c r="D34" s="160"/>
      <c r="E34" s="161"/>
      <c r="F34" s="161"/>
      <c r="G34" s="161"/>
      <c r="H34" s="161"/>
      <c r="I34" s="161"/>
      <c r="J34" s="161"/>
      <c r="K34" s="162"/>
      <c r="L34" s="41"/>
      <c r="M34" s="42"/>
      <c r="N34" s="1"/>
    </row>
    <row r="35" spans="2:14">
      <c r="B35" s="1"/>
      <c r="C35" s="37"/>
      <c r="D35" s="244"/>
      <c r="E35" s="245"/>
      <c r="F35" s="245"/>
      <c r="G35" s="245"/>
      <c r="H35" s="245"/>
      <c r="I35" s="245"/>
      <c r="J35" s="245"/>
      <c r="K35" s="246"/>
      <c r="L35" s="41"/>
      <c r="M35" s="42" t="str">
        <f t="shared" si="0"/>
        <v/>
      </c>
      <c r="N35" s="1"/>
    </row>
    <row r="36" spans="2:14">
      <c r="B36" s="1"/>
      <c r="C36" s="37"/>
      <c r="D36" s="160"/>
      <c r="E36" s="161"/>
      <c r="F36" s="161"/>
      <c r="G36" s="161"/>
      <c r="H36" s="161"/>
      <c r="I36" s="161"/>
      <c r="J36" s="161"/>
      <c r="K36" s="162"/>
      <c r="L36" s="41"/>
      <c r="M36" s="42"/>
      <c r="N36" s="1"/>
    </row>
    <row r="37" spans="2:14">
      <c r="B37" s="1"/>
      <c r="C37" s="37"/>
      <c r="D37" s="160"/>
      <c r="E37" s="161"/>
      <c r="F37" s="161"/>
      <c r="G37" s="161"/>
      <c r="H37" s="161"/>
      <c r="I37" s="161"/>
      <c r="J37" s="161"/>
      <c r="K37" s="162"/>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160"/>
      <c r="E40" s="161"/>
      <c r="F40" s="161"/>
      <c r="G40" s="161"/>
      <c r="H40" s="161"/>
      <c r="I40" s="161"/>
      <c r="J40" s="161"/>
      <c r="K40" s="162"/>
      <c r="L40" s="41"/>
      <c r="M40" s="42"/>
      <c r="N40" s="1"/>
    </row>
    <row r="41" spans="2:14">
      <c r="B41" s="1"/>
      <c r="C41" s="37"/>
      <c r="D41" s="244"/>
      <c r="E41" s="245"/>
      <c r="F41" s="245"/>
      <c r="G41" s="245"/>
      <c r="H41" s="245"/>
      <c r="I41" s="245"/>
      <c r="J41" s="245"/>
      <c r="K41" s="246"/>
      <c r="L41" s="41"/>
      <c r="M41" s="42" t="str">
        <f t="shared" si="0"/>
        <v/>
      </c>
      <c r="N41" s="1"/>
    </row>
    <row r="42" spans="2:14">
      <c r="B42" s="1"/>
      <c r="C42" s="37"/>
      <c r="D42" s="160"/>
      <c r="E42" s="161"/>
      <c r="F42" s="161"/>
      <c r="G42" s="161"/>
      <c r="H42" s="161"/>
      <c r="I42" s="161"/>
      <c r="J42" s="161"/>
      <c r="K42" s="162"/>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160"/>
      <c r="E44" s="161"/>
      <c r="F44" s="161"/>
      <c r="G44" s="161"/>
      <c r="H44" s="161"/>
      <c r="I44" s="161"/>
      <c r="J44" s="161"/>
      <c r="K44" s="162"/>
      <c r="L44" s="41"/>
      <c r="M44" s="42"/>
      <c r="N44" s="1"/>
    </row>
    <row r="45" spans="2:14">
      <c r="B45" s="1"/>
      <c r="C45" s="37"/>
      <c r="D45" s="244"/>
      <c r="E45" s="250"/>
      <c r="F45" s="250"/>
      <c r="G45" s="250"/>
      <c r="H45" s="250"/>
      <c r="I45" s="250"/>
      <c r="J45" s="250"/>
      <c r="K45" s="246"/>
      <c r="L45" s="41"/>
      <c r="M45" s="42" t="str">
        <f t="shared" si="0"/>
        <v/>
      </c>
      <c r="N45" s="1"/>
    </row>
    <row r="46" spans="2:14">
      <c r="B46" s="1"/>
      <c r="C46" s="37"/>
      <c r="D46" s="160"/>
      <c r="E46" s="164"/>
      <c r="F46" s="164"/>
      <c r="G46" s="164"/>
      <c r="H46" s="164"/>
      <c r="I46" s="164"/>
      <c r="J46" s="164"/>
      <c r="K46" s="162"/>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750</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750</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64:L66"/>
    <mergeCell ref="D45:K45"/>
    <mergeCell ref="D47:K47"/>
    <mergeCell ref="D51:G56"/>
    <mergeCell ref="J54:M56"/>
    <mergeCell ref="C58:M61"/>
    <mergeCell ref="C63:M63"/>
    <mergeCell ref="D43:K43"/>
    <mergeCell ref="D22:K22"/>
    <mergeCell ref="D24:K24"/>
    <mergeCell ref="D26:K26"/>
    <mergeCell ref="D27:K27"/>
    <mergeCell ref="D30:K30"/>
    <mergeCell ref="D31:K31"/>
    <mergeCell ref="D32:K32"/>
    <mergeCell ref="D35:K35"/>
    <mergeCell ref="D38:K38"/>
    <mergeCell ref="D39:K39"/>
    <mergeCell ref="D41:K41"/>
    <mergeCell ref="D21:K21"/>
    <mergeCell ref="H3:K6"/>
    <mergeCell ref="D14:H14"/>
    <mergeCell ref="D16:H16"/>
    <mergeCell ref="D18:K18"/>
    <mergeCell ref="D19:K19"/>
  </mergeCells>
  <dataValidations count="9">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F47AAD9C-E70B-4F24-8FA2-2CCA3E48C5AB}"/>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20E87213-C71A-4D2F-9202-932D204D23E5}"/>
    <dataValidation errorStyle="warning" allowBlank="1" showInputMessage="1" errorTitle="State" promptTitle="State" prompt="Enter the state abbreviation into this cell." sqref="F15" xr:uid="{8BF80AD9-F363-4F0B-A0AC-22A33ACA4AC5}"/>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F01589EB-D3AF-46F8-89AE-D00FCA1C460B}"/>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9604009B-17A3-408B-AB46-0090FF78DD38}"/>
    <dataValidation allowBlank="1" showInputMessage="1" showErrorMessage="1" promptTitle="Tax Rate" prompt="To add a tax here, or to change the percentage associated with this tax, enter the tax rate in the cell to the left.  The tax rate will then be automatically calculated." sqref="L51 K50" xr:uid="{F06F6207-4AC7-457C-B963-BEEAD9DA77F2}"/>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A108FC7D-66F6-43A2-9C14-2194D5112DD2}"/>
    <dataValidation type="whole" errorStyle="warning" allowBlank="1" showErrorMessage="1" errorTitle="Quantity" error="You must enter a number in this cell." promptTitle="Quantity" sqref="C19:C47" xr:uid="{4634BD8C-923A-4DAC-A4D8-7549969C6A88}">
      <formula1>0</formula1>
      <formula2>1000000000</formula2>
    </dataValidation>
    <dataValidation type="decimal" allowBlank="1" showErrorMessage="1" errorTitle="Unit Price" error="You must enter a number into this cell." promptTitle="Unit Price" sqref="L19:L47" xr:uid="{B8C3BC4A-DC9C-4806-AE8B-F823B4DF375D}">
      <formula1>0</formula1>
      <formula2>1000000000</formula2>
    </dataValidation>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2B882-B1BC-4D1A-A041-969A66ED54D7}">
  <sheetPr>
    <pageSetUpPr fitToPage="1"/>
  </sheetPr>
  <dimension ref="A2:N66"/>
  <sheetViews>
    <sheetView topLeftCell="A15" workbookViewId="0">
      <selection activeCell="G6" sqref="G6"/>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79</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169" t="s">
        <v>36</v>
      </c>
      <c r="E13" s="169"/>
      <c r="F13" s="169"/>
      <c r="G13" s="169"/>
      <c r="H13" s="169"/>
      <c r="I13" s="21"/>
      <c r="J13" s="1"/>
      <c r="K13" s="1"/>
      <c r="L13" s="5" t="s">
        <v>1</v>
      </c>
      <c r="M13" s="50">
        <v>46114</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170" t="s">
        <v>8</v>
      </c>
      <c r="D18" s="254" t="s">
        <v>9</v>
      </c>
      <c r="E18" s="255"/>
      <c r="F18" s="255"/>
      <c r="G18" s="255"/>
      <c r="H18" s="255"/>
      <c r="I18" s="255"/>
      <c r="J18" s="255"/>
      <c r="K18" s="256"/>
      <c r="L18" s="170" t="s">
        <v>10</v>
      </c>
      <c r="M18" s="10" t="s">
        <v>11</v>
      </c>
      <c r="N18" s="1"/>
    </row>
    <row r="19" spans="2:14">
      <c r="B19" s="1"/>
      <c r="C19" s="36">
        <v>24</v>
      </c>
      <c r="D19" s="244" t="s">
        <v>51</v>
      </c>
      <c r="E19" s="245"/>
      <c r="F19" s="245"/>
      <c r="G19" s="245"/>
      <c r="H19" s="245"/>
      <c r="I19" s="245"/>
      <c r="J19" s="245"/>
      <c r="K19" s="246"/>
      <c r="L19" s="43">
        <v>13</v>
      </c>
      <c r="M19" s="45">
        <f t="shared" ref="M19:M45" si="0">IF(L19&lt;&gt;"",ROUND(L19*C19,2),"")</f>
        <v>312</v>
      </c>
      <c r="N19" s="1"/>
    </row>
    <row r="20" spans="2:14">
      <c r="B20" s="1"/>
      <c r="C20" s="37"/>
      <c r="D20" s="61"/>
      <c r="E20" s="168"/>
      <c r="F20" s="168"/>
      <c r="G20" s="168"/>
      <c r="H20" s="168"/>
      <c r="I20" s="168"/>
      <c r="J20" s="168"/>
      <c r="K20" s="167"/>
      <c r="L20" s="41"/>
      <c r="M20" s="42"/>
      <c r="N20" s="1"/>
    </row>
    <row r="21" spans="2:14">
      <c r="B21" s="1"/>
      <c r="C21" s="37">
        <v>24</v>
      </c>
      <c r="D21" s="263" t="s">
        <v>78</v>
      </c>
      <c r="E21" s="264"/>
      <c r="F21" s="264"/>
      <c r="G21" s="264"/>
      <c r="H21" s="264"/>
      <c r="I21" s="264"/>
      <c r="J21" s="264"/>
      <c r="K21" s="265"/>
      <c r="L21" s="41">
        <v>13</v>
      </c>
      <c r="M21" s="42">
        <f t="shared" si="0"/>
        <v>312</v>
      </c>
      <c r="N21" s="1"/>
    </row>
    <row r="22" spans="2:14">
      <c r="B22" s="1"/>
      <c r="C22" s="37"/>
      <c r="D22" s="244"/>
      <c r="E22" s="245"/>
      <c r="F22" s="245"/>
      <c r="G22" s="245"/>
      <c r="H22" s="245"/>
      <c r="I22" s="245"/>
      <c r="J22" s="245"/>
      <c r="K22" s="246"/>
      <c r="L22" s="41"/>
      <c r="M22" s="42" t="str">
        <f t="shared" si="0"/>
        <v/>
      </c>
      <c r="N22" s="1"/>
    </row>
    <row r="23" spans="2:14">
      <c r="B23" s="1"/>
      <c r="C23" s="37"/>
      <c r="D23" s="165"/>
      <c r="E23" s="166"/>
      <c r="F23" s="166"/>
      <c r="G23" s="166"/>
      <c r="H23" s="166"/>
      <c r="I23" s="166"/>
      <c r="J23" s="166"/>
      <c r="K23" s="167"/>
      <c r="L23" s="41"/>
      <c r="M23" s="42" t="str">
        <f t="shared" si="0"/>
        <v/>
      </c>
      <c r="N23" s="1"/>
    </row>
    <row r="24" spans="2:14">
      <c r="B24" s="1"/>
      <c r="C24" s="37"/>
      <c r="D24" s="244"/>
      <c r="E24" s="245"/>
      <c r="F24" s="245"/>
      <c r="G24" s="245"/>
      <c r="H24" s="245"/>
      <c r="I24" s="245"/>
      <c r="J24" s="245"/>
      <c r="K24" s="246"/>
      <c r="L24" s="41"/>
      <c r="M24" s="42" t="str">
        <f t="shared" si="0"/>
        <v/>
      </c>
      <c r="N24" s="1"/>
    </row>
    <row r="25" spans="2:14">
      <c r="B25" s="1"/>
      <c r="C25" s="37"/>
      <c r="D25" s="165"/>
      <c r="E25" s="166"/>
      <c r="F25" s="166"/>
      <c r="G25" s="166"/>
      <c r="H25" s="166"/>
      <c r="I25" s="166"/>
      <c r="J25" s="166"/>
      <c r="K25" s="167"/>
      <c r="L25" s="41"/>
      <c r="M25" s="42" t="str">
        <f t="shared" si="0"/>
        <v/>
      </c>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165"/>
      <c r="E28" s="166"/>
      <c r="F28" s="166"/>
      <c r="G28" s="166"/>
      <c r="H28" s="166"/>
      <c r="I28" s="166"/>
      <c r="J28" s="166"/>
      <c r="K28" s="167"/>
      <c r="L28" s="41"/>
      <c r="M28" s="42"/>
      <c r="N28" s="1"/>
    </row>
    <row r="29" spans="2:14">
      <c r="B29" s="1"/>
      <c r="C29" s="37"/>
      <c r="D29" s="165"/>
      <c r="E29" s="166"/>
      <c r="F29" s="166"/>
      <c r="G29" s="166"/>
      <c r="H29" s="166"/>
      <c r="I29" s="166"/>
      <c r="J29" s="166"/>
      <c r="K29" s="167"/>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165"/>
      <c r="E33" s="166"/>
      <c r="F33" s="166"/>
      <c r="G33" s="166"/>
      <c r="H33" s="166"/>
      <c r="I33" s="166"/>
      <c r="J33" s="166"/>
      <c r="K33" s="167"/>
      <c r="L33" s="41"/>
      <c r="M33" s="42"/>
      <c r="N33" s="1"/>
    </row>
    <row r="34" spans="2:14">
      <c r="B34" s="1"/>
      <c r="C34" s="37"/>
      <c r="D34" s="165"/>
      <c r="E34" s="166"/>
      <c r="F34" s="166"/>
      <c r="G34" s="166"/>
      <c r="H34" s="166"/>
      <c r="I34" s="166"/>
      <c r="J34" s="166"/>
      <c r="K34" s="167"/>
      <c r="L34" s="41"/>
      <c r="M34" s="42"/>
      <c r="N34" s="1"/>
    </row>
    <row r="35" spans="2:14">
      <c r="B35" s="1"/>
      <c r="C35" s="37"/>
      <c r="D35" s="244"/>
      <c r="E35" s="245"/>
      <c r="F35" s="245"/>
      <c r="G35" s="245"/>
      <c r="H35" s="245"/>
      <c r="I35" s="245"/>
      <c r="J35" s="245"/>
      <c r="K35" s="246"/>
      <c r="L35" s="41"/>
      <c r="M35" s="42" t="str">
        <f t="shared" si="0"/>
        <v/>
      </c>
      <c r="N35" s="1"/>
    </row>
    <row r="36" spans="2:14">
      <c r="B36" s="1"/>
      <c r="C36" s="37"/>
      <c r="D36" s="165"/>
      <c r="E36" s="166"/>
      <c r="F36" s="166"/>
      <c r="G36" s="166"/>
      <c r="H36" s="166"/>
      <c r="I36" s="166"/>
      <c r="J36" s="166"/>
      <c r="K36" s="167"/>
      <c r="L36" s="41"/>
      <c r="M36" s="42"/>
      <c r="N36" s="1"/>
    </row>
    <row r="37" spans="2:14">
      <c r="B37" s="1"/>
      <c r="C37" s="37"/>
      <c r="D37" s="165"/>
      <c r="E37" s="166"/>
      <c r="F37" s="166"/>
      <c r="G37" s="166"/>
      <c r="H37" s="166"/>
      <c r="I37" s="166"/>
      <c r="J37" s="166"/>
      <c r="K37" s="167"/>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165"/>
      <c r="E40" s="166"/>
      <c r="F40" s="166"/>
      <c r="G40" s="166"/>
      <c r="H40" s="166"/>
      <c r="I40" s="166"/>
      <c r="J40" s="166"/>
      <c r="K40" s="167"/>
      <c r="L40" s="41"/>
      <c r="M40" s="42"/>
      <c r="N40" s="1"/>
    </row>
    <row r="41" spans="2:14">
      <c r="B41" s="1"/>
      <c r="C41" s="37"/>
      <c r="D41" s="244"/>
      <c r="E41" s="245"/>
      <c r="F41" s="245"/>
      <c r="G41" s="245"/>
      <c r="H41" s="245"/>
      <c r="I41" s="245"/>
      <c r="J41" s="245"/>
      <c r="K41" s="246"/>
      <c r="L41" s="41"/>
      <c r="M41" s="42" t="str">
        <f t="shared" si="0"/>
        <v/>
      </c>
      <c r="N41" s="1"/>
    </row>
    <row r="42" spans="2:14">
      <c r="B42" s="1"/>
      <c r="C42" s="37"/>
      <c r="D42" s="165"/>
      <c r="E42" s="166"/>
      <c r="F42" s="166"/>
      <c r="G42" s="166"/>
      <c r="H42" s="166"/>
      <c r="I42" s="166"/>
      <c r="J42" s="166"/>
      <c r="K42" s="167"/>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165"/>
      <c r="E44" s="166"/>
      <c r="F44" s="166"/>
      <c r="G44" s="166"/>
      <c r="H44" s="166"/>
      <c r="I44" s="166"/>
      <c r="J44" s="166"/>
      <c r="K44" s="167"/>
      <c r="L44" s="41"/>
      <c r="M44" s="42"/>
      <c r="N44" s="1"/>
    </row>
    <row r="45" spans="2:14">
      <c r="B45" s="1"/>
      <c r="C45" s="37"/>
      <c r="D45" s="244"/>
      <c r="E45" s="250"/>
      <c r="F45" s="250"/>
      <c r="G45" s="250"/>
      <c r="H45" s="250"/>
      <c r="I45" s="250"/>
      <c r="J45" s="250"/>
      <c r="K45" s="246"/>
      <c r="L45" s="41"/>
      <c r="M45" s="42" t="str">
        <f t="shared" si="0"/>
        <v/>
      </c>
      <c r="N45" s="1"/>
    </row>
    <row r="46" spans="2:14">
      <c r="B46" s="1"/>
      <c r="C46" s="37"/>
      <c r="D46" s="165"/>
      <c r="E46" s="168"/>
      <c r="F46" s="168"/>
      <c r="G46" s="168"/>
      <c r="H46" s="168"/>
      <c r="I46" s="168"/>
      <c r="J46" s="168"/>
      <c r="K46" s="167"/>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624</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624</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21:K21"/>
    <mergeCell ref="H3:K6"/>
    <mergeCell ref="D14:H14"/>
    <mergeCell ref="D16:H16"/>
    <mergeCell ref="D18:K18"/>
    <mergeCell ref="D19:K19"/>
    <mergeCell ref="D43:K43"/>
    <mergeCell ref="D22:K22"/>
    <mergeCell ref="D24:K24"/>
    <mergeCell ref="D26:K26"/>
    <mergeCell ref="D27:K27"/>
    <mergeCell ref="D30:K30"/>
    <mergeCell ref="D31:K31"/>
    <mergeCell ref="D32:K32"/>
    <mergeCell ref="D35:K35"/>
    <mergeCell ref="D38:K38"/>
    <mergeCell ref="D39:K39"/>
    <mergeCell ref="D41:K41"/>
    <mergeCell ref="D64:L66"/>
    <mergeCell ref="D45:K45"/>
    <mergeCell ref="D47:K47"/>
    <mergeCell ref="D51:G56"/>
    <mergeCell ref="J54:M56"/>
    <mergeCell ref="C58:M61"/>
    <mergeCell ref="C63:M63"/>
  </mergeCells>
  <dataValidations count="9">
    <dataValidation type="decimal" allowBlank="1" showErrorMessage="1" errorTitle="Unit Price" error="You must enter a number into this cell." promptTitle="Unit Price" sqref="L19:L47" xr:uid="{9887B73D-DA91-48F2-9E39-AC255202E6FC}">
      <formula1>0</formula1>
      <formula2>1000000000</formula2>
    </dataValidation>
    <dataValidation type="whole" errorStyle="warning" allowBlank="1" showErrorMessage="1" errorTitle="Quantity" error="You must enter a number in this cell." promptTitle="Quantity" sqref="C19:C47" xr:uid="{142BB728-4A23-4B90-A1B6-E080CDD5C26A}">
      <formula1>0</formula1>
      <formula2>1000000000</formula2>
    </dataValidation>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E6177F53-F415-43E7-B840-74F9D74534F2}"/>
    <dataValidation allowBlank="1" showInputMessage="1" showErrorMessage="1" promptTitle="Tax Rate" prompt="To add a tax here, or to change the percentage associated with this tax, enter the tax rate in the cell to the left.  The tax rate will then be automatically calculated." sqref="L51 K50" xr:uid="{5DC7B676-AE76-42BF-A38F-FF410DB30217}"/>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C5336C50-E4EE-4A5F-948B-51908C5291B3}"/>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6B20DA06-27B2-46DA-87A2-CD07F705D164}"/>
    <dataValidation errorStyle="warning" allowBlank="1" showInputMessage="1" errorTitle="State" promptTitle="State" prompt="Enter the state abbreviation into this cell." sqref="F15" xr:uid="{0EFD5B60-D7A1-48B8-BFE0-CF62CF817B95}"/>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07C5A155-376C-45B3-8F0F-220116CE4F61}"/>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C805BCE4-A369-41CC-AA56-391DFEC8F51C}"/>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EEFBB-E98C-4BE2-8466-89CC345AFE31}">
  <sheetPr>
    <pageSetUpPr fitToPage="1"/>
  </sheetPr>
  <dimension ref="A2:N66"/>
  <sheetViews>
    <sheetView workbookViewId="0">
      <selection activeCell="M16" sqref="M16"/>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80</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171" t="s">
        <v>36</v>
      </c>
      <c r="E13" s="171"/>
      <c r="F13" s="171"/>
      <c r="G13" s="171"/>
      <c r="H13" s="171"/>
      <c r="I13" s="21"/>
      <c r="J13" s="1"/>
      <c r="K13" s="1"/>
      <c r="L13" s="5" t="s">
        <v>1</v>
      </c>
      <c r="M13" s="50">
        <v>46121</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175" t="s">
        <v>8</v>
      </c>
      <c r="D18" s="254" t="s">
        <v>9</v>
      </c>
      <c r="E18" s="255"/>
      <c r="F18" s="255"/>
      <c r="G18" s="255"/>
      <c r="H18" s="255"/>
      <c r="I18" s="255"/>
      <c r="J18" s="255"/>
      <c r="K18" s="256"/>
      <c r="L18" s="175" t="s">
        <v>10</v>
      </c>
      <c r="M18" s="10" t="s">
        <v>11</v>
      </c>
      <c r="N18" s="1"/>
    </row>
    <row r="19" spans="2:14">
      <c r="B19" s="1"/>
      <c r="C19" s="36">
        <v>36</v>
      </c>
      <c r="D19" s="244" t="s">
        <v>51</v>
      </c>
      <c r="E19" s="245"/>
      <c r="F19" s="245"/>
      <c r="G19" s="245"/>
      <c r="H19" s="245"/>
      <c r="I19" s="245"/>
      <c r="J19" s="245"/>
      <c r="K19" s="246"/>
      <c r="L19" s="43">
        <v>13</v>
      </c>
      <c r="M19" s="45">
        <f t="shared" ref="M19:M45" si="0">IF(L19&lt;&gt;"",ROUND(L19*C19,2),"")</f>
        <v>468</v>
      </c>
      <c r="N19" s="1"/>
    </row>
    <row r="20" spans="2:14">
      <c r="B20" s="1"/>
      <c r="C20" s="37"/>
      <c r="D20" s="61"/>
      <c r="E20" s="176"/>
      <c r="F20" s="176"/>
      <c r="G20" s="176"/>
      <c r="H20" s="176"/>
      <c r="I20" s="176"/>
      <c r="J20" s="176"/>
      <c r="K20" s="174"/>
      <c r="L20" s="41"/>
      <c r="M20" s="42"/>
      <c r="N20" s="1"/>
    </row>
    <row r="21" spans="2:14">
      <c r="B21" s="1"/>
      <c r="C21" s="37">
        <v>12</v>
      </c>
      <c r="D21" s="263" t="s">
        <v>64</v>
      </c>
      <c r="E21" s="264"/>
      <c r="F21" s="264"/>
      <c r="G21" s="264"/>
      <c r="H21" s="264"/>
      <c r="I21" s="264"/>
      <c r="J21" s="264"/>
      <c r="K21" s="265"/>
      <c r="L21" s="41">
        <v>13</v>
      </c>
      <c r="M21" s="42">
        <f t="shared" si="0"/>
        <v>156</v>
      </c>
      <c r="N21" s="1"/>
    </row>
    <row r="22" spans="2:14">
      <c r="B22" s="1"/>
      <c r="C22" s="37"/>
      <c r="D22" s="244"/>
      <c r="E22" s="245"/>
      <c r="F22" s="245"/>
      <c r="G22" s="245"/>
      <c r="H22" s="245"/>
      <c r="I22" s="245"/>
      <c r="J22" s="245"/>
      <c r="K22" s="246"/>
      <c r="L22" s="41"/>
      <c r="M22" s="42" t="str">
        <f t="shared" si="0"/>
        <v/>
      </c>
      <c r="N22" s="1"/>
    </row>
    <row r="23" spans="2:14">
      <c r="B23" s="1"/>
      <c r="C23" s="37"/>
      <c r="D23" s="172"/>
      <c r="E23" s="173"/>
      <c r="F23" s="173"/>
      <c r="G23" s="173"/>
      <c r="H23" s="173"/>
      <c r="I23" s="173"/>
      <c r="J23" s="173"/>
      <c r="K23" s="174"/>
      <c r="L23" s="41"/>
      <c r="M23" s="42" t="str">
        <f t="shared" si="0"/>
        <v/>
      </c>
      <c r="N23" s="1"/>
    </row>
    <row r="24" spans="2:14">
      <c r="B24" s="1"/>
      <c r="C24" s="37"/>
      <c r="D24" s="244"/>
      <c r="E24" s="245"/>
      <c r="F24" s="245"/>
      <c r="G24" s="245"/>
      <c r="H24" s="245"/>
      <c r="I24" s="245"/>
      <c r="J24" s="245"/>
      <c r="K24" s="246"/>
      <c r="L24" s="41"/>
      <c r="M24" s="42" t="str">
        <f t="shared" si="0"/>
        <v/>
      </c>
      <c r="N24" s="1"/>
    </row>
    <row r="25" spans="2:14">
      <c r="B25" s="1"/>
      <c r="C25" s="37"/>
      <c r="D25" s="172"/>
      <c r="E25" s="173"/>
      <c r="F25" s="173"/>
      <c r="G25" s="173"/>
      <c r="H25" s="173"/>
      <c r="I25" s="173"/>
      <c r="J25" s="173"/>
      <c r="K25" s="174"/>
      <c r="L25" s="41"/>
      <c r="M25" s="42" t="str">
        <f t="shared" si="0"/>
        <v/>
      </c>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172"/>
      <c r="E28" s="173"/>
      <c r="F28" s="173"/>
      <c r="G28" s="173"/>
      <c r="H28" s="173"/>
      <c r="I28" s="173"/>
      <c r="J28" s="173"/>
      <c r="K28" s="174"/>
      <c r="L28" s="41"/>
      <c r="M28" s="42"/>
      <c r="N28" s="1"/>
    </row>
    <row r="29" spans="2:14">
      <c r="B29" s="1"/>
      <c r="C29" s="37"/>
      <c r="D29" s="172"/>
      <c r="E29" s="173"/>
      <c r="F29" s="173"/>
      <c r="G29" s="173"/>
      <c r="H29" s="173"/>
      <c r="I29" s="173"/>
      <c r="J29" s="173"/>
      <c r="K29" s="174"/>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172"/>
      <c r="E33" s="173"/>
      <c r="F33" s="173"/>
      <c r="G33" s="173"/>
      <c r="H33" s="173"/>
      <c r="I33" s="173"/>
      <c r="J33" s="173"/>
      <c r="K33" s="174"/>
      <c r="L33" s="41"/>
      <c r="M33" s="42"/>
      <c r="N33" s="1"/>
    </row>
    <row r="34" spans="2:14">
      <c r="B34" s="1"/>
      <c r="C34" s="37"/>
      <c r="D34" s="172"/>
      <c r="E34" s="173"/>
      <c r="F34" s="173"/>
      <c r="G34" s="173"/>
      <c r="H34" s="173"/>
      <c r="I34" s="173"/>
      <c r="J34" s="173"/>
      <c r="K34" s="174"/>
      <c r="L34" s="41"/>
      <c r="M34" s="42"/>
      <c r="N34" s="1"/>
    </row>
    <row r="35" spans="2:14">
      <c r="B35" s="1"/>
      <c r="C35" s="37"/>
      <c r="D35" s="244"/>
      <c r="E35" s="245"/>
      <c r="F35" s="245"/>
      <c r="G35" s="245"/>
      <c r="H35" s="245"/>
      <c r="I35" s="245"/>
      <c r="J35" s="245"/>
      <c r="K35" s="246"/>
      <c r="L35" s="41"/>
      <c r="M35" s="42" t="str">
        <f t="shared" si="0"/>
        <v/>
      </c>
      <c r="N35" s="1"/>
    </row>
    <row r="36" spans="2:14">
      <c r="B36" s="1"/>
      <c r="C36" s="37"/>
      <c r="D36" s="172"/>
      <c r="E36" s="173"/>
      <c r="F36" s="173"/>
      <c r="G36" s="173"/>
      <c r="H36" s="173"/>
      <c r="I36" s="173"/>
      <c r="J36" s="173"/>
      <c r="K36" s="174"/>
      <c r="L36" s="41"/>
      <c r="M36" s="42"/>
      <c r="N36" s="1"/>
    </row>
    <row r="37" spans="2:14">
      <c r="B37" s="1"/>
      <c r="C37" s="37"/>
      <c r="D37" s="172"/>
      <c r="E37" s="173"/>
      <c r="F37" s="173"/>
      <c r="G37" s="173"/>
      <c r="H37" s="173"/>
      <c r="I37" s="173"/>
      <c r="J37" s="173"/>
      <c r="K37" s="174"/>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172"/>
      <c r="E40" s="173"/>
      <c r="F40" s="173"/>
      <c r="G40" s="173"/>
      <c r="H40" s="173"/>
      <c r="I40" s="173"/>
      <c r="J40" s="173"/>
      <c r="K40" s="174"/>
      <c r="L40" s="41"/>
      <c r="M40" s="42"/>
      <c r="N40" s="1"/>
    </row>
    <row r="41" spans="2:14">
      <c r="B41" s="1"/>
      <c r="C41" s="37"/>
      <c r="D41" s="244"/>
      <c r="E41" s="245"/>
      <c r="F41" s="245"/>
      <c r="G41" s="245"/>
      <c r="H41" s="245"/>
      <c r="I41" s="245"/>
      <c r="J41" s="245"/>
      <c r="K41" s="246"/>
      <c r="L41" s="41"/>
      <c r="M41" s="42" t="str">
        <f t="shared" si="0"/>
        <v/>
      </c>
      <c r="N41" s="1"/>
    </row>
    <row r="42" spans="2:14">
      <c r="B42" s="1"/>
      <c r="C42" s="37"/>
      <c r="D42" s="172"/>
      <c r="E42" s="173"/>
      <c r="F42" s="173"/>
      <c r="G42" s="173"/>
      <c r="H42" s="173"/>
      <c r="I42" s="173"/>
      <c r="J42" s="173"/>
      <c r="K42" s="174"/>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172"/>
      <c r="E44" s="173"/>
      <c r="F44" s="173"/>
      <c r="G44" s="173"/>
      <c r="H44" s="173"/>
      <c r="I44" s="173"/>
      <c r="J44" s="173"/>
      <c r="K44" s="174"/>
      <c r="L44" s="41"/>
      <c r="M44" s="42"/>
      <c r="N44" s="1"/>
    </row>
    <row r="45" spans="2:14">
      <c r="B45" s="1"/>
      <c r="C45" s="37"/>
      <c r="D45" s="244"/>
      <c r="E45" s="250"/>
      <c r="F45" s="250"/>
      <c r="G45" s="250"/>
      <c r="H45" s="250"/>
      <c r="I45" s="250"/>
      <c r="J45" s="250"/>
      <c r="K45" s="246"/>
      <c r="L45" s="41"/>
      <c r="M45" s="42" t="str">
        <f t="shared" si="0"/>
        <v/>
      </c>
      <c r="N45" s="1"/>
    </row>
    <row r="46" spans="2:14">
      <c r="B46" s="1"/>
      <c r="C46" s="37"/>
      <c r="D46" s="172"/>
      <c r="E46" s="176"/>
      <c r="F46" s="176"/>
      <c r="G46" s="176"/>
      <c r="H46" s="176"/>
      <c r="I46" s="176"/>
      <c r="J46" s="176"/>
      <c r="K46" s="174"/>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624</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624</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64:L66"/>
    <mergeCell ref="D45:K45"/>
    <mergeCell ref="D47:K47"/>
    <mergeCell ref="D51:G56"/>
    <mergeCell ref="J54:M56"/>
    <mergeCell ref="C58:M61"/>
    <mergeCell ref="C63:M63"/>
    <mergeCell ref="D43:K43"/>
    <mergeCell ref="D22:K22"/>
    <mergeCell ref="D24:K24"/>
    <mergeCell ref="D26:K26"/>
    <mergeCell ref="D27:K27"/>
    <mergeCell ref="D30:K30"/>
    <mergeCell ref="D31:K31"/>
    <mergeCell ref="D32:K32"/>
    <mergeCell ref="D35:K35"/>
    <mergeCell ref="D38:K38"/>
    <mergeCell ref="D39:K39"/>
    <mergeCell ref="D41:K41"/>
    <mergeCell ref="D21:K21"/>
    <mergeCell ref="H3:K6"/>
    <mergeCell ref="D14:H14"/>
    <mergeCell ref="D16:H16"/>
    <mergeCell ref="D18:K18"/>
    <mergeCell ref="D19:K19"/>
  </mergeCells>
  <dataValidations count="9">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57CAA817-BF5A-4349-B7DD-CEF9BDB1B32C}"/>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9E758B60-7544-40A0-973F-A3CF4452A5E3}"/>
    <dataValidation errorStyle="warning" allowBlank="1" showInputMessage="1" errorTitle="State" promptTitle="State" prompt="Enter the state abbreviation into this cell." sqref="F15" xr:uid="{1825AE87-6C5B-43BD-88CD-BCBFEA3CAFDC}"/>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65116DBB-DF00-4636-B4FB-06373A7E3687}"/>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2B5467C1-7D91-41CC-ABE8-46F46E6B88CA}"/>
    <dataValidation allowBlank="1" showInputMessage="1" showErrorMessage="1" promptTitle="Tax Rate" prompt="To add a tax here, or to change the percentage associated with this tax, enter the tax rate in the cell to the left.  The tax rate will then be automatically calculated." sqref="L51 K50" xr:uid="{59107028-5AA5-4D97-9920-4FA20431D198}"/>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914F3862-A9FB-4DCE-9E00-D14764182F88}"/>
    <dataValidation type="whole" errorStyle="warning" allowBlank="1" showErrorMessage="1" errorTitle="Quantity" error="You must enter a number in this cell." promptTitle="Quantity" sqref="C19:C47" xr:uid="{F3FB1C43-88AD-41E9-AE74-11690B5BB538}">
      <formula1>0</formula1>
      <formula2>1000000000</formula2>
    </dataValidation>
    <dataValidation type="decimal" allowBlank="1" showErrorMessage="1" errorTitle="Unit Price" error="You must enter a number into this cell." promptTitle="Unit Price" sqref="L19:L47" xr:uid="{6F5E3062-30F9-46CE-B3B2-AA4D6B2819C9}">
      <formula1>0</formula1>
      <formula2>1000000000</formula2>
    </dataValidation>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A5FEB-6B18-4AAC-BBD9-947B47F84B33}">
  <sheetPr>
    <pageSetUpPr fitToPage="1"/>
  </sheetPr>
  <dimension ref="A2:N66"/>
  <sheetViews>
    <sheetView workbookViewId="0">
      <selection activeCell="M23" sqref="M23"/>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81</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181" t="s">
        <v>36</v>
      </c>
      <c r="E13" s="181"/>
      <c r="F13" s="181"/>
      <c r="G13" s="181"/>
      <c r="H13" s="181"/>
      <c r="I13" s="21"/>
      <c r="J13" s="1"/>
      <c r="K13" s="1"/>
      <c r="L13" s="5" t="s">
        <v>1</v>
      </c>
      <c r="M13" s="50">
        <v>46135</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182" t="s">
        <v>8</v>
      </c>
      <c r="D18" s="254" t="s">
        <v>9</v>
      </c>
      <c r="E18" s="255"/>
      <c r="F18" s="255"/>
      <c r="G18" s="255"/>
      <c r="H18" s="255"/>
      <c r="I18" s="255"/>
      <c r="J18" s="255"/>
      <c r="K18" s="256"/>
      <c r="L18" s="182" t="s">
        <v>10</v>
      </c>
      <c r="M18" s="10" t="s">
        <v>11</v>
      </c>
      <c r="N18" s="1"/>
    </row>
    <row r="19" spans="2:14">
      <c r="B19" s="1"/>
      <c r="C19" s="36">
        <v>24</v>
      </c>
      <c r="D19" s="244" t="s">
        <v>51</v>
      </c>
      <c r="E19" s="245"/>
      <c r="F19" s="245"/>
      <c r="G19" s="245"/>
      <c r="H19" s="245"/>
      <c r="I19" s="245"/>
      <c r="J19" s="245"/>
      <c r="K19" s="246"/>
      <c r="L19" s="43">
        <v>13</v>
      </c>
      <c r="M19" s="45">
        <f t="shared" ref="M19:M45" si="0">IF(L19&lt;&gt;"",ROUND(L19*C19,2),"")</f>
        <v>312</v>
      </c>
      <c r="N19" s="1"/>
    </row>
    <row r="20" spans="2:14">
      <c r="B20" s="1"/>
      <c r="C20" s="37"/>
      <c r="D20" s="61"/>
      <c r="E20" s="180"/>
      <c r="F20" s="180"/>
      <c r="G20" s="180"/>
      <c r="H20" s="180"/>
      <c r="I20" s="180"/>
      <c r="J20" s="180"/>
      <c r="K20" s="179"/>
      <c r="L20" s="41"/>
      <c r="M20" s="42"/>
      <c r="N20" s="1"/>
    </row>
    <row r="21" spans="2:14">
      <c r="B21" s="1"/>
      <c r="C21" s="37">
        <v>12</v>
      </c>
      <c r="D21" s="263" t="s">
        <v>64</v>
      </c>
      <c r="E21" s="264"/>
      <c r="F21" s="264"/>
      <c r="G21" s="264"/>
      <c r="H21" s="264"/>
      <c r="I21" s="264"/>
      <c r="J21" s="264"/>
      <c r="K21" s="265"/>
      <c r="L21" s="41">
        <v>13</v>
      </c>
      <c r="M21" s="42">
        <f t="shared" si="0"/>
        <v>156</v>
      </c>
      <c r="N21" s="1"/>
    </row>
    <row r="22" spans="2:14">
      <c r="B22" s="1"/>
      <c r="C22" s="37"/>
      <c r="D22" s="244"/>
      <c r="E22" s="245"/>
      <c r="F22" s="245"/>
      <c r="G22" s="245"/>
      <c r="H22" s="245"/>
      <c r="I22" s="245"/>
      <c r="J22" s="245"/>
      <c r="K22" s="246"/>
      <c r="L22" s="41"/>
      <c r="M22" s="42" t="str">
        <f t="shared" si="0"/>
        <v/>
      </c>
      <c r="N22" s="1"/>
    </row>
    <row r="23" spans="2:14">
      <c r="B23" s="1"/>
      <c r="C23" s="37">
        <v>24</v>
      </c>
      <c r="D23" s="177" t="s">
        <v>82</v>
      </c>
      <c r="E23" s="178"/>
      <c r="F23" s="178"/>
      <c r="G23" s="178"/>
      <c r="H23" s="178"/>
      <c r="I23" s="178"/>
      <c r="J23" s="178"/>
      <c r="K23" s="179"/>
      <c r="L23" s="41">
        <v>13</v>
      </c>
      <c r="M23" s="42">
        <f t="shared" si="0"/>
        <v>312</v>
      </c>
      <c r="N23" s="1"/>
    </row>
    <row r="24" spans="2:14">
      <c r="B24" s="1"/>
      <c r="C24" s="37"/>
      <c r="D24" s="244"/>
      <c r="E24" s="245"/>
      <c r="F24" s="245"/>
      <c r="G24" s="245"/>
      <c r="H24" s="245"/>
      <c r="I24" s="245"/>
      <c r="J24" s="245"/>
      <c r="K24" s="246"/>
      <c r="L24" s="41"/>
      <c r="M24" s="42" t="str">
        <f t="shared" si="0"/>
        <v/>
      </c>
      <c r="N24" s="1"/>
    </row>
    <row r="25" spans="2:14">
      <c r="B25" s="1"/>
      <c r="C25" s="37"/>
      <c r="D25" s="177"/>
      <c r="E25" s="178"/>
      <c r="F25" s="178"/>
      <c r="G25" s="178"/>
      <c r="H25" s="178"/>
      <c r="I25" s="178"/>
      <c r="J25" s="178"/>
      <c r="K25" s="179"/>
      <c r="L25" s="41"/>
      <c r="M25" s="42" t="str">
        <f t="shared" si="0"/>
        <v/>
      </c>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177"/>
      <c r="E28" s="178"/>
      <c r="F28" s="178"/>
      <c r="G28" s="178"/>
      <c r="H28" s="178"/>
      <c r="I28" s="178"/>
      <c r="J28" s="178"/>
      <c r="K28" s="179"/>
      <c r="L28" s="41"/>
      <c r="M28" s="42"/>
      <c r="N28" s="1"/>
    </row>
    <row r="29" spans="2:14">
      <c r="B29" s="1"/>
      <c r="C29" s="37"/>
      <c r="D29" s="177"/>
      <c r="E29" s="178"/>
      <c r="F29" s="178"/>
      <c r="G29" s="178"/>
      <c r="H29" s="178"/>
      <c r="I29" s="178"/>
      <c r="J29" s="178"/>
      <c r="K29" s="179"/>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177"/>
      <c r="E33" s="178"/>
      <c r="F33" s="178"/>
      <c r="G33" s="178"/>
      <c r="H33" s="178"/>
      <c r="I33" s="178"/>
      <c r="J33" s="178"/>
      <c r="K33" s="179"/>
      <c r="L33" s="41"/>
      <c r="M33" s="42"/>
      <c r="N33" s="1"/>
    </row>
    <row r="34" spans="2:14">
      <c r="B34" s="1"/>
      <c r="C34" s="37"/>
      <c r="D34" s="177"/>
      <c r="E34" s="178"/>
      <c r="F34" s="178"/>
      <c r="G34" s="178"/>
      <c r="H34" s="178"/>
      <c r="I34" s="178"/>
      <c r="J34" s="178"/>
      <c r="K34" s="179"/>
      <c r="L34" s="41"/>
      <c r="M34" s="42"/>
      <c r="N34" s="1"/>
    </row>
    <row r="35" spans="2:14">
      <c r="B35" s="1"/>
      <c r="C35" s="37"/>
      <c r="D35" s="244"/>
      <c r="E35" s="245"/>
      <c r="F35" s="245"/>
      <c r="G35" s="245"/>
      <c r="H35" s="245"/>
      <c r="I35" s="245"/>
      <c r="J35" s="245"/>
      <c r="K35" s="246"/>
      <c r="L35" s="41"/>
      <c r="M35" s="42" t="str">
        <f t="shared" si="0"/>
        <v/>
      </c>
      <c r="N35" s="1"/>
    </row>
    <row r="36" spans="2:14">
      <c r="B36" s="1"/>
      <c r="C36" s="37"/>
      <c r="D36" s="177"/>
      <c r="E36" s="178"/>
      <c r="F36" s="178"/>
      <c r="G36" s="178"/>
      <c r="H36" s="178"/>
      <c r="I36" s="178"/>
      <c r="J36" s="178"/>
      <c r="K36" s="179"/>
      <c r="L36" s="41"/>
      <c r="M36" s="42"/>
      <c r="N36" s="1"/>
    </row>
    <row r="37" spans="2:14">
      <c r="B37" s="1"/>
      <c r="C37" s="37"/>
      <c r="D37" s="177"/>
      <c r="E37" s="178"/>
      <c r="F37" s="178"/>
      <c r="G37" s="178"/>
      <c r="H37" s="178"/>
      <c r="I37" s="178"/>
      <c r="J37" s="178"/>
      <c r="K37" s="179"/>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177"/>
      <c r="E40" s="178"/>
      <c r="F40" s="178"/>
      <c r="G40" s="178"/>
      <c r="H40" s="178"/>
      <c r="I40" s="178"/>
      <c r="J40" s="178"/>
      <c r="K40" s="179"/>
      <c r="L40" s="41"/>
      <c r="M40" s="42"/>
      <c r="N40" s="1"/>
    </row>
    <row r="41" spans="2:14">
      <c r="B41" s="1"/>
      <c r="C41" s="37"/>
      <c r="D41" s="244"/>
      <c r="E41" s="245"/>
      <c r="F41" s="245"/>
      <c r="G41" s="245"/>
      <c r="H41" s="245"/>
      <c r="I41" s="245"/>
      <c r="J41" s="245"/>
      <c r="K41" s="246"/>
      <c r="L41" s="41"/>
      <c r="M41" s="42" t="str">
        <f t="shared" si="0"/>
        <v/>
      </c>
      <c r="N41" s="1"/>
    </row>
    <row r="42" spans="2:14">
      <c r="B42" s="1"/>
      <c r="C42" s="37"/>
      <c r="D42" s="177"/>
      <c r="E42" s="178"/>
      <c r="F42" s="178"/>
      <c r="G42" s="178"/>
      <c r="H42" s="178"/>
      <c r="I42" s="178"/>
      <c r="J42" s="178"/>
      <c r="K42" s="179"/>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177"/>
      <c r="E44" s="178"/>
      <c r="F44" s="178"/>
      <c r="G44" s="178"/>
      <c r="H44" s="178"/>
      <c r="I44" s="178"/>
      <c r="J44" s="178"/>
      <c r="K44" s="179"/>
      <c r="L44" s="41"/>
      <c r="M44" s="42"/>
      <c r="N44" s="1"/>
    </row>
    <row r="45" spans="2:14">
      <c r="B45" s="1"/>
      <c r="C45" s="37"/>
      <c r="D45" s="244"/>
      <c r="E45" s="250"/>
      <c r="F45" s="250"/>
      <c r="G45" s="250"/>
      <c r="H45" s="250"/>
      <c r="I45" s="250"/>
      <c r="J45" s="250"/>
      <c r="K45" s="246"/>
      <c r="L45" s="41"/>
      <c r="M45" s="42" t="str">
        <f t="shared" si="0"/>
        <v/>
      </c>
      <c r="N45" s="1"/>
    </row>
    <row r="46" spans="2:14">
      <c r="B46" s="1"/>
      <c r="C46" s="37"/>
      <c r="D46" s="177"/>
      <c r="E46" s="180"/>
      <c r="F46" s="180"/>
      <c r="G46" s="180"/>
      <c r="H46" s="180"/>
      <c r="I46" s="180"/>
      <c r="J46" s="180"/>
      <c r="K46" s="179"/>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780</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780</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21:K21"/>
    <mergeCell ref="H3:K6"/>
    <mergeCell ref="D14:H14"/>
    <mergeCell ref="D16:H16"/>
    <mergeCell ref="D18:K18"/>
    <mergeCell ref="D19:K19"/>
    <mergeCell ref="D43:K43"/>
    <mergeCell ref="D22:K22"/>
    <mergeCell ref="D24:K24"/>
    <mergeCell ref="D26:K26"/>
    <mergeCell ref="D27:K27"/>
    <mergeCell ref="D30:K30"/>
    <mergeCell ref="D31:K31"/>
    <mergeCell ref="D32:K32"/>
    <mergeCell ref="D35:K35"/>
    <mergeCell ref="D38:K38"/>
    <mergeCell ref="D39:K39"/>
    <mergeCell ref="D41:K41"/>
    <mergeCell ref="D64:L66"/>
    <mergeCell ref="D45:K45"/>
    <mergeCell ref="D47:K47"/>
    <mergeCell ref="D51:G56"/>
    <mergeCell ref="J54:M56"/>
    <mergeCell ref="C58:M61"/>
    <mergeCell ref="C63:M63"/>
  </mergeCells>
  <dataValidations count="9">
    <dataValidation type="decimal" allowBlank="1" showErrorMessage="1" errorTitle="Unit Price" error="You must enter a number into this cell." promptTitle="Unit Price" sqref="L19:L47" xr:uid="{6B9F323D-0304-45BA-A99C-A7A26CE1128F}">
      <formula1>0</formula1>
      <formula2>1000000000</formula2>
    </dataValidation>
    <dataValidation type="whole" errorStyle="warning" allowBlank="1" showErrorMessage="1" errorTitle="Quantity" error="You must enter a number in this cell." promptTitle="Quantity" sqref="C19:C47" xr:uid="{FE1113F1-6589-40E0-98D4-172FEC7CCFC1}">
      <formula1>0</formula1>
      <formula2>1000000000</formula2>
    </dataValidation>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DDFF72FD-29EC-4821-BB42-6047F66912A4}"/>
    <dataValidation allowBlank="1" showInputMessage="1" showErrorMessage="1" promptTitle="Tax Rate" prompt="To add a tax here, or to change the percentage associated with this tax, enter the tax rate in the cell to the left.  The tax rate will then be automatically calculated." sqref="L51 K50" xr:uid="{F38BC457-961A-4029-BB36-8389FC29D4F1}"/>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ED620A5F-C3AB-481E-A601-BD8E90EC0A01}"/>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A7AC2245-BBA1-41B9-93E2-442AC3B038A3}"/>
    <dataValidation errorStyle="warning" allowBlank="1" showInputMessage="1" errorTitle="State" promptTitle="State" prompt="Enter the state abbreviation into this cell." sqref="F15" xr:uid="{80E9142F-77DC-4148-8C78-A5D53A0A9B84}"/>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47324FDE-9978-47F2-9654-1782C81CE162}"/>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9D43BD9D-2EAB-4132-B850-8482649A49AD}"/>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4E9AD-2C31-4FAE-AF57-B564F76064FA}">
  <sheetPr>
    <pageSetUpPr fitToPage="1"/>
  </sheetPr>
  <dimension ref="A2:N66"/>
  <sheetViews>
    <sheetView workbookViewId="0">
      <selection activeCell="D21" sqref="D21:K21"/>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83</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183" t="s">
        <v>36</v>
      </c>
      <c r="E13" s="183"/>
      <c r="F13" s="183"/>
      <c r="G13" s="183"/>
      <c r="H13" s="183"/>
      <c r="I13" s="21"/>
      <c r="J13" s="1"/>
      <c r="K13" s="1"/>
      <c r="L13" s="5" t="s">
        <v>1</v>
      </c>
      <c r="M13" s="50">
        <v>46142</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187" t="s">
        <v>8</v>
      </c>
      <c r="D18" s="254" t="s">
        <v>9</v>
      </c>
      <c r="E18" s="255"/>
      <c r="F18" s="255"/>
      <c r="G18" s="255"/>
      <c r="H18" s="255"/>
      <c r="I18" s="255"/>
      <c r="J18" s="255"/>
      <c r="K18" s="256"/>
      <c r="L18" s="187" t="s">
        <v>10</v>
      </c>
      <c r="M18" s="10" t="s">
        <v>11</v>
      </c>
      <c r="N18" s="1"/>
    </row>
    <row r="19" spans="2:14">
      <c r="B19" s="1"/>
      <c r="C19" s="36">
        <v>36</v>
      </c>
      <c r="D19" s="244" t="s">
        <v>51</v>
      </c>
      <c r="E19" s="245"/>
      <c r="F19" s="245"/>
      <c r="G19" s="245"/>
      <c r="H19" s="245"/>
      <c r="I19" s="245"/>
      <c r="J19" s="245"/>
      <c r="K19" s="246"/>
      <c r="L19" s="43">
        <v>13</v>
      </c>
      <c r="M19" s="45">
        <f t="shared" ref="M19:M45" si="0">IF(L19&lt;&gt;"",ROUND(L19*C19,2),"")</f>
        <v>468</v>
      </c>
      <c r="N19" s="1"/>
    </row>
    <row r="20" spans="2:14">
      <c r="B20" s="1"/>
      <c r="C20" s="37"/>
      <c r="D20" s="61"/>
      <c r="E20" s="188"/>
      <c r="F20" s="188"/>
      <c r="G20" s="188"/>
      <c r="H20" s="188"/>
      <c r="I20" s="188"/>
      <c r="J20" s="188"/>
      <c r="K20" s="186"/>
      <c r="L20" s="41"/>
      <c r="M20" s="42"/>
      <c r="N20" s="1"/>
    </row>
    <row r="21" spans="2:14">
      <c r="B21" s="1"/>
      <c r="C21" s="37">
        <v>12</v>
      </c>
      <c r="D21" s="263" t="s">
        <v>77</v>
      </c>
      <c r="E21" s="264"/>
      <c r="F21" s="264"/>
      <c r="G21" s="264"/>
      <c r="H21" s="264"/>
      <c r="I21" s="264"/>
      <c r="J21" s="264"/>
      <c r="K21" s="265"/>
      <c r="L21" s="41">
        <v>15</v>
      </c>
      <c r="M21" s="42">
        <f t="shared" si="0"/>
        <v>180</v>
      </c>
      <c r="N21" s="1"/>
    </row>
    <row r="22" spans="2:14">
      <c r="B22" s="1"/>
      <c r="C22" s="37"/>
      <c r="D22" s="244"/>
      <c r="E22" s="245"/>
      <c r="F22" s="245"/>
      <c r="G22" s="245"/>
      <c r="H22" s="245"/>
      <c r="I22" s="245"/>
      <c r="J22" s="245"/>
      <c r="K22" s="246"/>
      <c r="L22" s="41"/>
      <c r="M22" s="42" t="str">
        <f t="shared" si="0"/>
        <v/>
      </c>
      <c r="N22" s="1"/>
    </row>
    <row r="23" spans="2:14">
      <c r="B23" s="1"/>
      <c r="C23" s="37">
        <v>36</v>
      </c>
      <c r="D23" s="184" t="s">
        <v>82</v>
      </c>
      <c r="E23" s="185"/>
      <c r="F23" s="185"/>
      <c r="G23" s="185"/>
      <c r="H23" s="185"/>
      <c r="I23" s="185"/>
      <c r="J23" s="185"/>
      <c r="K23" s="186"/>
      <c r="L23" s="41">
        <v>13</v>
      </c>
      <c r="M23" s="42">
        <f t="shared" si="0"/>
        <v>468</v>
      </c>
      <c r="N23" s="1"/>
    </row>
    <row r="24" spans="2:14">
      <c r="B24" s="1"/>
      <c r="C24" s="37"/>
      <c r="D24" s="244"/>
      <c r="E24" s="245"/>
      <c r="F24" s="245"/>
      <c r="G24" s="245"/>
      <c r="H24" s="245"/>
      <c r="I24" s="245"/>
      <c r="J24" s="245"/>
      <c r="K24" s="246"/>
      <c r="L24" s="41"/>
      <c r="M24" s="42" t="str">
        <f t="shared" si="0"/>
        <v/>
      </c>
      <c r="N24" s="1"/>
    </row>
    <row r="25" spans="2:14">
      <c r="B25" s="1"/>
      <c r="C25" s="37"/>
      <c r="D25" s="184"/>
      <c r="E25" s="185"/>
      <c r="F25" s="185"/>
      <c r="G25" s="185"/>
      <c r="H25" s="185"/>
      <c r="I25" s="185"/>
      <c r="J25" s="185"/>
      <c r="K25" s="186"/>
      <c r="L25" s="41"/>
      <c r="M25" s="42" t="str">
        <f t="shared" si="0"/>
        <v/>
      </c>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184"/>
      <c r="E28" s="185"/>
      <c r="F28" s="185"/>
      <c r="G28" s="185"/>
      <c r="H28" s="185"/>
      <c r="I28" s="185"/>
      <c r="J28" s="185"/>
      <c r="K28" s="186"/>
      <c r="L28" s="41"/>
      <c r="M28" s="42"/>
      <c r="N28" s="1"/>
    </row>
    <row r="29" spans="2:14">
      <c r="B29" s="1"/>
      <c r="C29" s="37"/>
      <c r="D29" s="184"/>
      <c r="E29" s="185"/>
      <c r="F29" s="185"/>
      <c r="G29" s="185"/>
      <c r="H29" s="185"/>
      <c r="I29" s="185"/>
      <c r="J29" s="185"/>
      <c r="K29" s="186"/>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184"/>
      <c r="E33" s="185"/>
      <c r="F33" s="185"/>
      <c r="G33" s="185"/>
      <c r="H33" s="185"/>
      <c r="I33" s="185"/>
      <c r="J33" s="185"/>
      <c r="K33" s="186"/>
      <c r="L33" s="41"/>
      <c r="M33" s="42"/>
      <c r="N33" s="1"/>
    </row>
    <row r="34" spans="2:14">
      <c r="B34" s="1"/>
      <c r="C34" s="37"/>
      <c r="D34" s="184"/>
      <c r="E34" s="185"/>
      <c r="F34" s="185"/>
      <c r="G34" s="185"/>
      <c r="H34" s="185"/>
      <c r="I34" s="185"/>
      <c r="J34" s="185"/>
      <c r="K34" s="186"/>
      <c r="L34" s="41"/>
      <c r="M34" s="42"/>
      <c r="N34" s="1"/>
    </row>
    <row r="35" spans="2:14">
      <c r="B35" s="1"/>
      <c r="C35" s="37"/>
      <c r="D35" s="244"/>
      <c r="E35" s="245"/>
      <c r="F35" s="245"/>
      <c r="G35" s="245"/>
      <c r="H35" s="245"/>
      <c r="I35" s="245"/>
      <c r="J35" s="245"/>
      <c r="K35" s="246"/>
      <c r="L35" s="41"/>
      <c r="M35" s="42" t="str">
        <f t="shared" si="0"/>
        <v/>
      </c>
      <c r="N35" s="1"/>
    </row>
    <row r="36" spans="2:14">
      <c r="B36" s="1"/>
      <c r="C36" s="37"/>
      <c r="D36" s="184"/>
      <c r="E36" s="185"/>
      <c r="F36" s="185"/>
      <c r="G36" s="185"/>
      <c r="H36" s="185"/>
      <c r="I36" s="185"/>
      <c r="J36" s="185"/>
      <c r="K36" s="186"/>
      <c r="L36" s="41"/>
      <c r="M36" s="42"/>
      <c r="N36" s="1"/>
    </row>
    <row r="37" spans="2:14">
      <c r="B37" s="1"/>
      <c r="C37" s="37"/>
      <c r="D37" s="184"/>
      <c r="E37" s="185"/>
      <c r="F37" s="185"/>
      <c r="G37" s="185"/>
      <c r="H37" s="185"/>
      <c r="I37" s="185"/>
      <c r="J37" s="185"/>
      <c r="K37" s="186"/>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184"/>
      <c r="E40" s="185"/>
      <c r="F40" s="185"/>
      <c r="G40" s="185"/>
      <c r="H40" s="185"/>
      <c r="I40" s="185"/>
      <c r="J40" s="185"/>
      <c r="K40" s="186"/>
      <c r="L40" s="41"/>
      <c r="M40" s="42"/>
      <c r="N40" s="1"/>
    </row>
    <row r="41" spans="2:14">
      <c r="B41" s="1"/>
      <c r="C41" s="37"/>
      <c r="D41" s="244"/>
      <c r="E41" s="245"/>
      <c r="F41" s="245"/>
      <c r="G41" s="245"/>
      <c r="H41" s="245"/>
      <c r="I41" s="245"/>
      <c r="J41" s="245"/>
      <c r="K41" s="246"/>
      <c r="L41" s="41"/>
      <c r="M41" s="42" t="str">
        <f t="shared" si="0"/>
        <v/>
      </c>
      <c r="N41" s="1"/>
    </row>
    <row r="42" spans="2:14">
      <c r="B42" s="1"/>
      <c r="C42" s="37"/>
      <c r="D42" s="184"/>
      <c r="E42" s="185"/>
      <c r="F42" s="185"/>
      <c r="G42" s="185"/>
      <c r="H42" s="185"/>
      <c r="I42" s="185"/>
      <c r="J42" s="185"/>
      <c r="K42" s="186"/>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184"/>
      <c r="E44" s="185"/>
      <c r="F44" s="185"/>
      <c r="G44" s="185"/>
      <c r="H44" s="185"/>
      <c r="I44" s="185"/>
      <c r="J44" s="185"/>
      <c r="K44" s="186"/>
      <c r="L44" s="41"/>
      <c r="M44" s="42"/>
      <c r="N44" s="1"/>
    </row>
    <row r="45" spans="2:14">
      <c r="B45" s="1"/>
      <c r="C45" s="37"/>
      <c r="D45" s="244"/>
      <c r="E45" s="250"/>
      <c r="F45" s="250"/>
      <c r="G45" s="250"/>
      <c r="H45" s="250"/>
      <c r="I45" s="250"/>
      <c r="J45" s="250"/>
      <c r="K45" s="246"/>
      <c r="L45" s="41"/>
      <c r="M45" s="42" t="str">
        <f t="shared" si="0"/>
        <v/>
      </c>
      <c r="N45" s="1"/>
    </row>
    <row r="46" spans="2:14">
      <c r="B46" s="1"/>
      <c r="C46" s="37"/>
      <c r="D46" s="184"/>
      <c r="E46" s="188"/>
      <c r="F46" s="188"/>
      <c r="G46" s="188"/>
      <c r="H46" s="188"/>
      <c r="I46" s="188"/>
      <c r="J46" s="188"/>
      <c r="K46" s="186"/>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1116</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1116</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64:L66"/>
    <mergeCell ref="D45:K45"/>
    <mergeCell ref="D47:K47"/>
    <mergeCell ref="D51:G56"/>
    <mergeCell ref="J54:M56"/>
    <mergeCell ref="C58:M61"/>
    <mergeCell ref="C63:M63"/>
    <mergeCell ref="D43:K43"/>
    <mergeCell ref="D22:K22"/>
    <mergeCell ref="D24:K24"/>
    <mergeCell ref="D26:K26"/>
    <mergeCell ref="D27:K27"/>
    <mergeCell ref="D30:K30"/>
    <mergeCell ref="D31:K31"/>
    <mergeCell ref="D32:K32"/>
    <mergeCell ref="D35:K35"/>
    <mergeCell ref="D38:K38"/>
    <mergeCell ref="D39:K39"/>
    <mergeCell ref="D41:K41"/>
    <mergeCell ref="D21:K21"/>
    <mergeCell ref="H3:K6"/>
    <mergeCell ref="D14:H14"/>
    <mergeCell ref="D16:H16"/>
    <mergeCell ref="D18:K18"/>
    <mergeCell ref="D19:K19"/>
  </mergeCells>
  <dataValidations count="9">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BE4282EF-DFDC-492D-A13B-233DE3DE59AF}"/>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C356617E-0E64-4379-A3C0-1EE598976B99}"/>
    <dataValidation errorStyle="warning" allowBlank="1" showInputMessage="1" errorTitle="State" promptTitle="State" prompt="Enter the state abbreviation into this cell." sqref="F15" xr:uid="{50C17D78-97E6-4524-B072-B89FE8AAE3BD}"/>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6DD91D85-EAC0-45FD-B8C7-75C0DAD8757B}"/>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80F8359C-3763-4813-B01F-EE5DA49023AB}"/>
    <dataValidation allowBlank="1" showInputMessage="1" showErrorMessage="1" promptTitle="Tax Rate" prompt="To add a tax here, or to change the percentage associated with this tax, enter the tax rate in the cell to the left.  The tax rate will then be automatically calculated." sqref="L51 K50" xr:uid="{45FC7AE0-B4B3-40B8-B661-856ACCA76D81}"/>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411D6F0C-C9FF-41C0-8D26-C70607DED0FB}"/>
    <dataValidation type="whole" errorStyle="warning" allowBlank="1" showErrorMessage="1" errorTitle="Quantity" error="You must enter a number in this cell." promptTitle="Quantity" sqref="C19:C47" xr:uid="{9233D3B0-9FB7-4AD4-BE01-7601ACA7463C}">
      <formula1>0</formula1>
      <formula2>1000000000</formula2>
    </dataValidation>
    <dataValidation type="decimal" allowBlank="1" showErrorMessage="1" errorTitle="Unit Price" error="You must enter a number into this cell." promptTitle="Unit Price" sqref="L19:L47" xr:uid="{650A2612-55C9-46B9-B9EA-247A85F2866A}">
      <formula1>0</formula1>
      <formula2>1000000000</formula2>
    </dataValidation>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C1FF3-8943-48DF-9867-675FCCBFC87E}">
  <sheetPr>
    <pageSetUpPr fitToPage="1"/>
  </sheetPr>
  <dimension ref="A2:N66"/>
  <sheetViews>
    <sheetView topLeftCell="A10" workbookViewId="0">
      <selection activeCell="M23" sqref="M23"/>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84</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193" t="s">
        <v>36</v>
      </c>
      <c r="E13" s="193"/>
      <c r="F13" s="193"/>
      <c r="G13" s="193"/>
      <c r="H13" s="193"/>
      <c r="I13" s="21"/>
      <c r="J13" s="1"/>
      <c r="K13" s="1"/>
      <c r="L13" s="5" t="s">
        <v>1</v>
      </c>
      <c r="M13" s="50">
        <v>46149</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194" t="s">
        <v>8</v>
      </c>
      <c r="D18" s="254" t="s">
        <v>9</v>
      </c>
      <c r="E18" s="255"/>
      <c r="F18" s="255"/>
      <c r="G18" s="255"/>
      <c r="H18" s="255"/>
      <c r="I18" s="255"/>
      <c r="J18" s="255"/>
      <c r="K18" s="256"/>
      <c r="L18" s="194" t="s">
        <v>10</v>
      </c>
      <c r="M18" s="10" t="s">
        <v>11</v>
      </c>
      <c r="N18" s="1"/>
    </row>
    <row r="19" spans="2:14">
      <c r="B19" s="1"/>
      <c r="C19" s="36">
        <v>1</v>
      </c>
      <c r="D19" s="244" t="s">
        <v>51</v>
      </c>
      <c r="E19" s="245"/>
      <c r="F19" s="245"/>
      <c r="G19" s="245"/>
      <c r="H19" s="245"/>
      <c r="I19" s="245"/>
      <c r="J19" s="245"/>
      <c r="K19" s="246"/>
      <c r="L19" s="43">
        <v>150</v>
      </c>
      <c r="M19" s="45">
        <f t="shared" ref="M19:M45" si="0">IF(L19&lt;&gt;"",ROUND(L19*C19,2),"")</f>
        <v>150</v>
      </c>
      <c r="N19" s="1"/>
    </row>
    <row r="20" spans="2:14">
      <c r="B20" s="1"/>
      <c r="C20" s="37"/>
      <c r="D20" s="61"/>
      <c r="E20" s="192"/>
      <c r="F20" s="192"/>
      <c r="G20" s="192"/>
      <c r="H20" s="192"/>
      <c r="I20" s="192"/>
      <c r="J20" s="192"/>
      <c r="K20" s="191"/>
      <c r="L20" s="41"/>
      <c r="M20" s="42"/>
      <c r="N20" s="1"/>
    </row>
    <row r="21" spans="2:14">
      <c r="B21" s="1"/>
      <c r="C21" s="37">
        <v>1</v>
      </c>
      <c r="D21" s="263" t="s">
        <v>64</v>
      </c>
      <c r="E21" s="264"/>
      <c r="F21" s="264"/>
      <c r="G21" s="264"/>
      <c r="H21" s="264"/>
      <c r="I21" s="264"/>
      <c r="J21" s="264"/>
      <c r="K21" s="265"/>
      <c r="L21" s="41">
        <v>150</v>
      </c>
      <c r="M21" s="42">
        <f t="shared" si="0"/>
        <v>150</v>
      </c>
      <c r="N21" s="1"/>
    </row>
    <row r="22" spans="2:14">
      <c r="B22" s="1"/>
      <c r="C22" s="37"/>
      <c r="D22" s="244"/>
      <c r="E22" s="245"/>
      <c r="F22" s="245"/>
      <c r="G22" s="245"/>
      <c r="H22" s="245"/>
      <c r="I22" s="245"/>
      <c r="J22" s="245"/>
      <c r="K22" s="246"/>
      <c r="L22" s="41"/>
      <c r="M22" s="42" t="str">
        <f t="shared" si="0"/>
        <v/>
      </c>
      <c r="N22" s="1"/>
    </row>
    <row r="23" spans="2:14">
      <c r="B23" s="1"/>
      <c r="C23" s="37">
        <v>2</v>
      </c>
      <c r="D23" s="189" t="s">
        <v>82</v>
      </c>
      <c r="E23" s="190"/>
      <c r="F23" s="190"/>
      <c r="G23" s="190"/>
      <c r="H23" s="190"/>
      <c r="I23" s="190"/>
      <c r="J23" s="190"/>
      <c r="K23" s="191"/>
      <c r="L23" s="41">
        <v>150</v>
      </c>
      <c r="M23" s="42">
        <f t="shared" si="0"/>
        <v>300</v>
      </c>
      <c r="N23" s="1"/>
    </row>
    <row r="24" spans="2:14">
      <c r="B24" s="1"/>
      <c r="C24" s="37"/>
      <c r="D24" s="244"/>
      <c r="E24" s="245"/>
      <c r="F24" s="245"/>
      <c r="G24" s="245"/>
      <c r="H24" s="245"/>
      <c r="I24" s="245"/>
      <c r="J24" s="245"/>
      <c r="K24" s="246"/>
      <c r="L24" s="41"/>
      <c r="M24" s="42" t="str">
        <f t="shared" si="0"/>
        <v/>
      </c>
      <c r="N24" s="1"/>
    </row>
    <row r="25" spans="2:14">
      <c r="B25" s="1"/>
      <c r="C25" s="37"/>
      <c r="D25" s="189"/>
      <c r="E25" s="190"/>
      <c r="F25" s="190"/>
      <c r="G25" s="190"/>
      <c r="H25" s="190"/>
      <c r="I25" s="190"/>
      <c r="J25" s="190"/>
      <c r="K25" s="191"/>
      <c r="L25" s="41"/>
      <c r="M25" s="42" t="str">
        <f t="shared" si="0"/>
        <v/>
      </c>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189"/>
      <c r="E28" s="190"/>
      <c r="F28" s="190"/>
      <c r="G28" s="190"/>
      <c r="H28" s="190"/>
      <c r="I28" s="190"/>
      <c r="J28" s="190"/>
      <c r="K28" s="191"/>
      <c r="L28" s="41"/>
      <c r="M28" s="42"/>
      <c r="N28" s="1"/>
    </row>
    <row r="29" spans="2:14">
      <c r="B29" s="1"/>
      <c r="C29" s="37"/>
      <c r="D29" s="189"/>
      <c r="E29" s="190"/>
      <c r="F29" s="190"/>
      <c r="G29" s="190"/>
      <c r="H29" s="190"/>
      <c r="I29" s="190"/>
      <c r="J29" s="190"/>
      <c r="K29" s="191"/>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189"/>
      <c r="E33" s="190"/>
      <c r="F33" s="190"/>
      <c r="G33" s="190"/>
      <c r="H33" s="190"/>
      <c r="I33" s="190"/>
      <c r="J33" s="190"/>
      <c r="K33" s="191"/>
      <c r="L33" s="41"/>
      <c r="M33" s="42"/>
      <c r="N33" s="1"/>
    </row>
    <row r="34" spans="2:14">
      <c r="B34" s="1"/>
      <c r="C34" s="37"/>
      <c r="D34" s="189"/>
      <c r="E34" s="190"/>
      <c r="F34" s="190"/>
      <c r="G34" s="190"/>
      <c r="H34" s="190"/>
      <c r="I34" s="190"/>
      <c r="J34" s="190"/>
      <c r="K34" s="191"/>
      <c r="L34" s="41"/>
      <c r="M34" s="42"/>
      <c r="N34" s="1"/>
    </row>
    <row r="35" spans="2:14">
      <c r="B35" s="1"/>
      <c r="C35" s="37"/>
      <c r="D35" s="244"/>
      <c r="E35" s="245"/>
      <c r="F35" s="245"/>
      <c r="G35" s="245"/>
      <c r="H35" s="245"/>
      <c r="I35" s="245"/>
      <c r="J35" s="245"/>
      <c r="K35" s="246"/>
      <c r="L35" s="41"/>
      <c r="M35" s="42" t="str">
        <f t="shared" si="0"/>
        <v/>
      </c>
      <c r="N35" s="1"/>
    </row>
    <row r="36" spans="2:14">
      <c r="B36" s="1"/>
      <c r="C36" s="37"/>
      <c r="D36" s="189"/>
      <c r="E36" s="190"/>
      <c r="F36" s="190"/>
      <c r="G36" s="190"/>
      <c r="H36" s="190"/>
      <c r="I36" s="190"/>
      <c r="J36" s="190"/>
      <c r="K36" s="191"/>
      <c r="L36" s="41"/>
      <c r="M36" s="42"/>
      <c r="N36" s="1"/>
    </row>
    <row r="37" spans="2:14">
      <c r="B37" s="1"/>
      <c r="C37" s="37"/>
      <c r="D37" s="189"/>
      <c r="E37" s="190"/>
      <c r="F37" s="190"/>
      <c r="G37" s="190"/>
      <c r="H37" s="190"/>
      <c r="I37" s="190"/>
      <c r="J37" s="190"/>
      <c r="K37" s="191"/>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189"/>
      <c r="E40" s="190"/>
      <c r="F40" s="190"/>
      <c r="G40" s="190"/>
      <c r="H40" s="190"/>
      <c r="I40" s="190"/>
      <c r="J40" s="190"/>
      <c r="K40" s="191"/>
      <c r="L40" s="41"/>
      <c r="M40" s="42"/>
      <c r="N40" s="1"/>
    </row>
    <row r="41" spans="2:14">
      <c r="B41" s="1"/>
      <c r="C41" s="37"/>
      <c r="D41" s="244"/>
      <c r="E41" s="245"/>
      <c r="F41" s="245"/>
      <c r="G41" s="245"/>
      <c r="H41" s="245"/>
      <c r="I41" s="245"/>
      <c r="J41" s="245"/>
      <c r="K41" s="246"/>
      <c r="L41" s="41"/>
      <c r="M41" s="42" t="str">
        <f t="shared" si="0"/>
        <v/>
      </c>
      <c r="N41" s="1"/>
    </row>
    <row r="42" spans="2:14">
      <c r="B42" s="1"/>
      <c r="C42" s="37"/>
      <c r="D42" s="189"/>
      <c r="E42" s="190"/>
      <c r="F42" s="190"/>
      <c r="G42" s="190"/>
      <c r="H42" s="190"/>
      <c r="I42" s="190"/>
      <c r="J42" s="190"/>
      <c r="K42" s="191"/>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189"/>
      <c r="E44" s="190"/>
      <c r="F44" s="190"/>
      <c r="G44" s="190"/>
      <c r="H44" s="190"/>
      <c r="I44" s="190"/>
      <c r="J44" s="190"/>
      <c r="K44" s="191"/>
      <c r="L44" s="41"/>
      <c r="M44" s="42"/>
      <c r="N44" s="1"/>
    </row>
    <row r="45" spans="2:14">
      <c r="B45" s="1"/>
      <c r="C45" s="37"/>
      <c r="D45" s="244"/>
      <c r="E45" s="250"/>
      <c r="F45" s="250"/>
      <c r="G45" s="250"/>
      <c r="H45" s="250"/>
      <c r="I45" s="250"/>
      <c r="J45" s="250"/>
      <c r="K45" s="246"/>
      <c r="L45" s="41"/>
      <c r="M45" s="42" t="str">
        <f t="shared" si="0"/>
        <v/>
      </c>
      <c r="N45" s="1"/>
    </row>
    <row r="46" spans="2:14">
      <c r="B46" s="1"/>
      <c r="C46" s="37"/>
      <c r="D46" s="189"/>
      <c r="E46" s="192"/>
      <c r="F46" s="192"/>
      <c r="G46" s="192"/>
      <c r="H46" s="192"/>
      <c r="I46" s="192"/>
      <c r="J46" s="192"/>
      <c r="K46" s="191"/>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600</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600</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21:K21"/>
    <mergeCell ref="H3:K6"/>
    <mergeCell ref="D14:H14"/>
    <mergeCell ref="D16:H16"/>
    <mergeCell ref="D18:K18"/>
    <mergeCell ref="D19:K19"/>
    <mergeCell ref="D43:K43"/>
    <mergeCell ref="D22:K22"/>
    <mergeCell ref="D24:K24"/>
    <mergeCell ref="D26:K26"/>
    <mergeCell ref="D27:K27"/>
    <mergeCell ref="D30:K30"/>
    <mergeCell ref="D31:K31"/>
    <mergeCell ref="D32:K32"/>
    <mergeCell ref="D35:K35"/>
    <mergeCell ref="D38:K38"/>
    <mergeCell ref="D39:K39"/>
    <mergeCell ref="D41:K41"/>
    <mergeCell ref="D64:L66"/>
    <mergeCell ref="D45:K45"/>
    <mergeCell ref="D47:K47"/>
    <mergeCell ref="D51:G56"/>
    <mergeCell ref="J54:M56"/>
    <mergeCell ref="C58:M61"/>
    <mergeCell ref="C63:M63"/>
  </mergeCells>
  <dataValidations count="9">
    <dataValidation type="decimal" allowBlank="1" showErrorMessage="1" errorTitle="Unit Price" error="You must enter a number into this cell." promptTitle="Unit Price" sqref="L19:L47" xr:uid="{E7A07CB2-B50C-48B3-AC7B-ACF8090E461A}">
      <formula1>0</formula1>
      <formula2>1000000000</formula2>
    </dataValidation>
    <dataValidation type="whole" errorStyle="warning" allowBlank="1" showErrorMessage="1" errorTitle="Quantity" error="You must enter a number in this cell." promptTitle="Quantity" sqref="C19:C47" xr:uid="{FCD4E03A-E4DD-4A90-AF23-87857A2A8495}">
      <formula1>0</formula1>
      <formula2>1000000000</formula2>
    </dataValidation>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436B1FE5-5DAC-4EC4-881D-4BA695E12F7A}"/>
    <dataValidation allowBlank="1" showInputMessage="1" showErrorMessage="1" promptTitle="Tax Rate" prompt="To add a tax here, or to change the percentage associated with this tax, enter the tax rate in the cell to the left.  The tax rate will then be automatically calculated." sqref="L51 K50" xr:uid="{F7C3668A-7538-4981-A18C-BF2F8A79F432}"/>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A9C075BA-6902-4468-A31A-A0E44F9D1435}"/>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F3EE7E21-A297-45DC-B61F-9095CCEFEE64}"/>
    <dataValidation errorStyle="warning" allowBlank="1" showInputMessage="1" errorTitle="State" promptTitle="State" prompt="Enter the state abbreviation into this cell." sqref="F15" xr:uid="{C61B90F2-6EE8-4DB1-8945-AD9F4CF5880A}"/>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AF085B84-287D-46C1-ACD1-9ADBE1137FFC}"/>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0CB14A11-46A9-43FE-A17B-38B1D3102809}"/>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78C83-4478-4E3F-BF17-5BD0FA48B8C8}">
  <sheetPr>
    <pageSetUpPr fitToPage="1"/>
  </sheetPr>
  <dimension ref="A2:N66"/>
  <sheetViews>
    <sheetView workbookViewId="0">
      <selection activeCell="M25" sqref="M25"/>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85</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195" t="s">
        <v>36</v>
      </c>
      <c r="E13" s="195"/>
      <c r="F13" s="195"/>
      <c r="G13" s="195"/>
      <c r="H13" s="195"/>
      <c r="I13" s="21"/>
      <c r="J13" s="1"/>
      <c r="K13" s="1"/>
      <c r="L13" s="5" t="s">
        <v>1</v>
      </c>
      <c r="M13" s="50">
        <v>46155</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199" t="s">
        <v>8</v>
      </c>
      <c r="D18" s="254" t="s">
        <v>9</v>
      </c>
      <c r="E18" s="255"/>
      <c r="F18" s="255"/>
      <c r="G18" s="255"/>
      <c r="H18" s="255"/>
      <c r="I18" s="255"/>
      <c r="J18" s="255"/>
      <c r="K18" s="256"/>
      <c r="L18" s="199" t="s">
        <v>10</v>
      </c>
      <c r="M18" s="10" t="s">
        <v>11</v>
      </c>
      <c r="N18" s="1"/>
    </row>
    <row r="19" spans="2:14">
      <c r="B19" s="1"/>
      <c r="C19" s="36">
        <v>2</v>
      </c>
      <c r="D19" s="244" t="s">
        <v>51</v>
      </c>
      <c r="E19" s="245"/>
      <c r="F19" s="245"/>
      <c r="G19" s="245"/>
      <c r="H19" s="245"/>
      <c r="I19" s="245"/>
      <c r="J19" s="245"/>
      <c r="K19" s="246"/>
      <c r="L19" s="43">
        <v>150</v>
      </c>
      <c r="M19" s="45">
        <f t="shared" ref="M19:M45" si="0">IF(L19&lt;&gt;"",ROUND(L19*C19,2),"")</f>
        <v>300</v>
      </c>
      <c r="N19" s="1"/>
    </row>
    <row r="20" spans="2:14">
      <c r="B20" s="1"/>
      <c r="C20" s="37"/>
      <c r="D20" s="61"/>
      <c r="E20" s="200"/>
      <c r="F20" s="200"/>
      <c r="G20" s="200"/>
      <c r="H20" s="200"/>
      <c r="I20" s="200"/>
      <c r="J20" s="200"/>
      <c r="K20" s="198"/>
      <c r="L20" s="41"/>
      <c r="M20" s="42"/>
      <c r="N20" s="1"/>
    </row>
    <row r="21" spans="2:14">
      <c r="B21" s="1"/>
      <c r="C21" s="37">
        <v>3</v>
      </c>
      <c r="D21" s="263" t="s">
        <v>86</v>
      </c>
      <c r="E21" s="264"/>
      <c r="F21" s="264"/>
      <c r="G21" s="264"/>
      <c r="H21" s="264"/>
      <c r="I21" s="264"/>
      <c r="J21" s="264"/>
      <c r="K21" s="265"/>
      <c r="L21" s="41">
        <v>150</v>
      </c>
      <c r="M21" s="42">
        <f t="shared" si="0"/>
        <v>450</v>
      </c>
      <c r="N21" s="1"/>
    </row>
    <row r="22" spans="2:14">
      <c r="B22" s="1"/>
      <c r="C22" s="37"/>
      <c r="D22" s="244"/>
      <c r="E22" s="245"/>
      <c r="F22" s="245"/>
      <c r="G22" s="245"/>
      <c r="H22" s="245"/>
      <c r="I22" s="245"/>
      <c r="J22" s="245"/>
      <c r="K22" s="246"/>
      <c r="L22" s="41"/>
      <c r="M22" s="42" t="str">
        <f t="shared" si="0"/>
        <v/>
      </c>
      <c r="N22" s="1"/>
    </row>
    <row r="23" spans="2:14">
      <c r="B23" s="1"/>
      <c r="C23" s="37"/>
      <c r="D23" s="196"/>
      <c r="E23" s="197"/>
      <c r="F23" s="197"/>
      <c r="G23" s="197"/>
      <c r="H23" s="197"/>
      <c r="I23" s="197"/>
      <c r="J23" s="197"/>
      <c r="K23" s="198"/>
      <c r="L23" s="41"/>
      <c r="M23" s="42" t="str">
        <f t="shared" si="0"/>
        <v/>
      </c>
      <c r="N23" s="1"/>
    </row>
    <row r="24" spans="2:14">
      <c r="B24" s="1"/>
      <c r="C24" s="37"/>
      <c r="D24" s="244"/>
      <c r="E24" s="245"/>
      <c r="F24" s="245"/>
      <c r="G24" s="245"/>
      <c r="H24" s="245"/>
      <c r="I24" s="245"/>
      <c r="J24" s="245"/>
      <c r="K24" s="246"/>
      <c r="L24" s="41"/>
      <c r="M24" s="42" t="str">
        <f t="shared" si="0"/>
        <v/>
      </c>
      <c r="N24" s="1"/>
    </row>
    <row r="25" spans="2:14">
      <c r="B25" s="1"/>
      <c r="C25" s="37"/>
      <c r="D25" s="196"/>
      <c r="E25" s="197"/>
      <c r="F25" s="197"/>
      <c r="G25" s="197"/>
      <c r="H25" s="197"/>
      <c r="I25" s="197"/>
      <c r="J25" s="197"/>
      <c r="K25" s="198"/>
      <c r="L25" s="41"/>
      <c r="M25" s="42" t="str">
        <f t="shared" si="0"/>
        <v/>
      </c>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196"/>
      <c r="E28" s="197"/>
      <c r="F28" s="197"/>
      <c r="G28" s="197"/>
      <c r="H28" s="197"/>
      <c r="I28" s="197"/>
      <c r="J28" s="197"/>
      <c r="K28" s="198"/>
      <c r="L28" s="41"/>
      <c r="M28" s="42"/>
      <c r="N28" s="1"/>
    </row>
    <row r="29" spans="2:14">
      <c r="B29" s="1"/>
      <c r="C29" s="37"/>
      <c r="D29" s="196"/>
      <c r="E29" s="197"/>
      <c r="F29" s="197"/>
      <c r="G29" s="197"/>
      <c r="H29" s="197"/>
      <c r="I29" s="197"/>
      <c r="J29" s="197"/>
      <c r="K29" s="198"/>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196"/>
      <c r="E33" s="197"/>
      <c r="F33" s="197"/>
      <c r="G33" s="197"/>
      <c r="H33" s="197"/>
      <c r="I33" s="197"/>
      <c r="J33" s="197"/>
      <c r="K33" s="198"/>
      <c r="L33" s="41"/>
      <c r="M33" s="42"/>
      <c r="N33" s="1"/>
    </row>
    <row r="34" spans="2:14">
      <c r="B34" s="1"/>
      <c r="C34" s="37"/>
      <c r="D34" s="196"/>
      <c r="E34" s="197"/>
      <c r="F34" s="197"/>
      <c r="G34" s="197"/>
      <c r="H34" s="197"/>
      <c r="I34" s="197"/>
      <c r="J34" s="197"/>
      <c r="K34" s="198"/>
      <c r="L34" s="41"/>
      <c r="M34" s="42"/>
      <c r="N34" s="1"/>
    </row>
    <row r="35" spans="2:14">
      <c r="B35" s="1"/>
      <c r="C35" s="37"/>
      <c r="D35" s="244"/>
      <c r="E35" s="245"/>
      <c r="F35" s="245"/>
      <c r="G35" s="245"/>
      <c r="H35" s="245"/>
      <c r="I35" s="245"/>
      <c r="J35" s="245"/>
      <c r="K35" s="246"/>
      <c r="L35" s="41"/>
      <c r="M35" s="42" t="str">
        <f t="shared" si="0"/>
        <v/>
      </c>
      <c r="N35" s="1"/>
    </row>
    <row r="36" spans="2:14">
      <c r="B36" s="1"/>
      <c r="C36" s="37"/>
      <c r="D36" s="196"/>
      <c r="E36" s="197"/>
      <c r="F36" s="197"/>
      <c r="G36" s="197"/>
      <c r="H36" s="197"/>
      <c r="I36" s="197"/>
      <c r="J36" s="197"/>
      <c r="K36" s="198"/>
      <c r="L36" s="41"/>
      <c r="M36" s="42"/>
      <c r="N36" s="1"/>
    </row>
    <row r="37" spans="2:14">
      <c r="B37" s="1"/>
      <c r="C37" s="37"/>
      <c r="D37" s="196"/>
      <c r="E37" s="197"/>
      <c r="F37" s="197"/>
      <c r="G37" s="197"/>
      <c r="H37" s="197"/>
      <c r="I37" s="197"/>
      <c r="J37" s="197"/>
      <c r="K37" s="198"/>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196"/>
      <c r="E40" s="197"/>
      <c r="F40" s="197"/>
      <c r="G40" s="197"/>
      <c r="H40" s="197"/>
      <c r="I40" s="197"/>
      <c r="J40" s="197"/>
      <c r="K40" s="198"/>
      <c r="L40" s="41"/>
      <c r="M40" s="42"/>
      <c r="N40" s="1"/>
    </row>
    <row r="41" spans="2:14">
      <c r="B41" s="1"/>
      <c r="C41" s="37"/>
      <c r="D41" s="244"/>
      <c r="E41" s="245"/>
      <c r="F41" s="245"/>
      <c r="G41" s="245"/>
      <c r="H41" s="245"/>
      <c r="I41" s="245"/>
      <c r="J41" s="245"/>
      <c r="K41" s="246"/>
      <c r="L41" s="41"/>
      <c r="M41" s="42" t="str">
        <f t="shared" si="0"/>
        <v/>
      </c>
      <c r="N41" s="1"/>
    </row>
    <row r="42" spans="2:14">
      <c r="B42" s="1"/>
      <c r="C42" s="37"/>
      <c r="D42" s="196"/>
      <c r="E42" s="197"/>
      <c r="F42" s="197"/>
      <c r="G42" s="197"/>
      <c r="H42" s="197"/>
      <c r="I42" s="197"/>
      <c r="J42" s="197"/>
      <c r="K42" s="198"/>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196"/>
      <c r="E44" s="197"/>
      <c r="F44" s="197"/>
      <c r="G44" s="197"/>
      <c r="H44" s="197"/>
      <c r="I44" s="197"/>
      <c r="J44" s="197"/>
      <c r="K44" s="198"/>
      <c r="L44" s="41"/>
      <c r="M44" s="42"/>
      <c r="N44" s="1"/>
    </row>
    <row r="45" spans="2:14">
      <c r="B45" s="1"/>
      <c r="C45" s="37"/>
      <c r="D45" s="244"/>
      <c r="E45" s="250"/>
      <c r="F45" s="250"/>
      <c r="G45" s="250"/>
      <c r="H45" s="250"/>
      <c r="I45" s="250"/>
      <c r="J45" s="250"/>
      <c r="K45" s="246"/>
      <c r="L45" s="41"/>
      <c r="M45" s="42" t="str">
        <f t="shared" si="0"/>
        <v/>
      </c>
      <c r="N45" s="1"/>
    </row>
    <row r="46" spans="2:14">
      <c r="B46" s="1"/>
      <c r="C46" s="37"/>
      <c r="D46" s="196"/>
      <c r="E46" s="200"/>
      <c r="F46" s="200"/>
      <c r="G46" s="200"/>
      <c r="H46" s="200"/>
      <c r="I46" s="200"/>
      <c r="J46" s="200"/>
      <c r="K46" s="198"/>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750</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750</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64:L66"/>
    <mergeCell ref="D45:K45"/>
    <mergeCell ref="D47:K47"/>
    <mergeCell ref="D51:G56"/>
    <mergeCell ref="J54:M56"/>
    <mergeCell ref="C58:M61"/>
    <mergeCell ref="C63:M63"/>
    <mergeCell ref="D43:K43"/>
    <mergeCell ref="D22:K22"/>
    <mergeCell ref="D24:K24"/>
    <mergeCell ref="D26:K26"/>
    <mergeCell ref="D27:K27"/>
    <mergeCell ref="D30:K30"/>
    <mergeCell ref="D31:K31"/>
    <mergeCell ref="D32:K32"/>
    <mergeCell ref="D35:K35"/>
    <mergeCell ref="D38:K38"/>
    <mergeCell ref="D39:K39"/>
    <mergeCell ref="D41:K41"/>
    <mergeCell ref="D21:K21"/>
    <mergeCell ref="H3:K6"/>
    <mergeCell ref="D14:H14"/>
    <mergeCell ref="D16:H16"/>
    <mergeCell ref="D18:K18"/>
    <mergeCell ref="D19:K19"/>
  </mergeCells>
  <dataValidations count="9">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81F35CDA-032A-4302-B81B-D3D13C456CFA}"/>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6C362533-A284-429F-8D78-5795C1B17598}"/>
    <dataValidation errorStyle="warning" allowBlank="1" showInputMessage="1" errorTitle="State" promptTitle="State" prompt="Enter the state abbreviation into this cell." sqref="F15" xr:uid="{019CE27B-0465-4B10-9615-AF119303B48C}"/>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A0A60A5A-A2A0-45D2-80F8-DE0D5AE334B6}"/>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CE8A91B0-F4F8-4E17-97B9-18651F6CFF59}"/>
    <dataValidation allowBlank="1" showInputMessage="1" showErrorMessage="1" promptTitle="Tax Rate" prompt="To add a tax here, or to change the percentage associated with this tax, enter the tax rate in the cell to the left.  The tax rate will then be automatically calculated." sqref="L51 K50" xr:uid="{73B779EE-FE55-4659-BDF4-1061792598E8}"/>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06A799A1-F860-4F63-85B6-EEC75FA02A58}"/>
    <dataValidation type="whole" errorStyle="warning" allowBlank="1" showErrorMessage="1" errorTitle="Quantity" error="You must enter a number in this cell." promptTitle="Quantity" sqref="C19:C47" xr:uid="{98658397-4A7A-4228-BA79-F42994F84C46}">
      <formula1>0</formula1>
      <formula2>1000000000</formula2>
    </dataValidation>
    <dataValidation type="decimal" allowBlank="1" showErrorMessage="1" errorTitle="Unit Price" error="You must enter a number into this cell." promptTitle="Unit Price" sqref="L19:L47" xr:uid="{FB5A5243-FCA5-4ED5-903E-B979397082CB}">
      <formula1>0</formula1>
      <formula2>1000000000</formula2>
    </dataValidation>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F73EE-478F-4CC2-96B1-BCDE9CE88DCD}">
  <sheetPr>
    <pageSetUpPr fitToPage="1"/>
  </sheetPr>
  <dimension ref="A2:N66"/>
  <sheetViews>
    <sheetView workbookViewId="0">
      <selection activeCell="M13" sqref="M13"/>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89</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211" t="s">
        <v>36</v>
      </c>
      <c r="E13" s="211"/>
      <c r="F13" s="211"/>
      <c r="G13" s="211"/>
      <c r="H13" s="211"/>
      <c r="I13" s="21"/>
      <c r="J13" s="1"/>
      <c r="K13" s="1"/>
      <c r="L13" s="5" t="s">
        <v>1</v>
      </c>
      <c r="M13" s="50">
        <v>46220</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212" t="s">
        <v>8</v>
      </c>
      <c r="D18" s="254" t="s">
        <v>9</v>
      </c>
      <c r="E18" s="255"/>
      <c r="F18" s="255"/>
      <c r="G18" s="255"/>
      <c r="H18" s="255"/>
      <c r="I18" s="255"/>
      <c r="J18" s="255"/>
      <c r="K18" s="256"/>
      <c r="L18" s="212" t="s">
        <v>10</v>
      </c>
      <c r="M18" s="10" t="s">
        <v>11</v>
      </c>
      <c r="N18" s="1"/>
    </row>
    <row r="19" spans="2:14">
      <c r="B19" s="1"/>
      <c r="C19" s="36">
        <v>2</v>
      </c>
      <c r="D19" s="244" t="s">
        <v>51</v>
      </c>
      <c r="E19" s="245"/>
      <c r="F19" s="245"/>
      <c r="G19" s="245"/>
      <c r="H19" s="245"/>
      <c r="I19" s="245"/>
      <c r="J19" s="245"/>
      <c r="K19" s="246"/>
      <c r="L19" s="43">
        <v>150</v>
      </c>
      <c r="M19" s="45">
        <f t="shared" ref="M19:M45" si="0">IF(L19&lt;&gt;"",ROUND(L19*C19,2),"")</f>
        <v>300</v>
      </c>
      <c r="N19" s="1"/>
    </row>
    <row r="20" spans="2:14">
      <c r="B20" s="1"/>
      <c r="C20" s="37"/>
      <c r="D20" s="61"/>
      <c r="E20" s="210"/>
      <c r="F20" s="210"/>
      <c r="G20" s="210"/>
      <c r="H20" s="210"/>
      <c r="I20" s="210"/>
      <c r="J20" s="210"/>
      <c r="K20" s="209"/>
      <c r="L20" s="41"/>
      <c r="M20" s="42"/>
      <c r="N20" s="1"/>
    </row>
    <row r="21" spans="2:14">
      <c r="B21" s="1"/>
      <c r="C21" s="37">
        <v>3</v>
      </c>
      <c r="D21" s="263" t="s">
        <v>86</v>
      </c>
      <c r="E21" s="264"/>
      <c r="F21" s="264"/>
      <c r="G21" s="264"/>
      <c r="H21" s="264"/>
      <c r="I21" s="264"/>
      <c r="J21" s="264"/>
      <c r="K21" s="265"/>
      <c r="L21" s="41">
        <v>150</v>
      </c>
      <c r="M21" s="42">
        <f t="shared" si="0"/>
        <v>450</v>
      </c>
      <c r="N21" s="1"/>
    </row>
    <row r="22" spans="2:14">
      <c r="B22" s="1"/>
      <c r="C22" s="37">
        <v>1</v>
      </c>
      <c r="D22" s="244" t="s">
        <v>94</v>
      </c>
      <c r="E22" s="245"/>
      <c r="F22" s="245"/>
      <c r="G22" s="245"/>
      <c r="H22" s="245"/>
      <c r="I22" s="245"/>
      <c r="J22" s="245"/>
      <c r="K22" s="246"/>
      <c r="L22" s="41">
        <v>180</v>
      </c>
      <c r="M22" s="42">
        <f t="shared" si="0"/>
        <v>180</v>
      </c>
      <c r="N22" s="1"/>
    </row>
    <row r="23" spans="2:14">
      <c r="B23" s="1"/>
      <c r="C23" s="37"/>
      <c r="D23" s="207"/>
      <c r="E23" s="208"/>
      <c r="F23" s="208"/>
      <c r="G23" s="208"/>
      <c r="H23" s="208"/>
      <c r="I23" s="208"/>
      <c r="J23" s="208"/>
      <c r="K23" s="209"/>
      <c r="L23" s="41"/>
      <c r="M23" s="42" t="str">
        <f t="shared" si="0"/>
        <v/>
      </c>
      <c r="N23" s="1"/>
    </row>
    <row r="24" spans="2:14">
      <c r="B24" s="1"/>
      <c r="C24" s="37"/>
      <c r="D24" s="244"/>
      <c r="E24" s="245"/>
      <c r="F24" s="245"/>
      <c r="G24" s="245"/>
      <c r="H24" s="245"/>
      <c r="I24" s="245"/>
      <c r="J24" s="245"/>
      <c r="K24" s="246"/>
      <c r="L24" s="41"/>
      <c r="M24" s="42" t="str">
        <f t="shared" si="0"/>
        <v/>
      </c>
      <c r="N24" s="1"/>
    </row>
    <row r="25" spans="2:14">
      <c r="B25" s="1"/>
      <c r="C25" s="37"/>
      <c r="D25" s="207"/>
      <c r="E25" s="208"/>
      <c r="F25" s="208"/>
      <c r="G25" s="208"/>
      <c r="H25" s="208"/>
      <c r="I25" s="208"/>
      <c r="J25" s="208"/>
      <c r="K25" s="209"/>
      <c r="L25" s="41"/>
      <c r="M25" s="42"/>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207"/>
      <c r="E28" s="208"/>
      <c r="F28" s="208"/>
      <c r="G28" s="208"/>
      <c r="H28" s="208"/>
      <c r="I28" s="208"/>
      <c r="J28" s="208"/>
      <c r="K28" s="209"/>
      <c r="L28" s="41"/>
      <c r="M28" s="42"/>
      <c r="N28" s="1"/>
    </row>
    <row r="29" spans="2:14">
      <c r="B29" s="1"/>
      <c r="C29" s="37"/>
      <c r="D29" s="207"/>
      <c r="E29" s="208"/>
      <c r="F29" s="208"/>
      <c r="G29" s="208"/>
      <c r="H29" s="208"/>
      <c r="I29" s="208"/>
      <c r="J29" s="208"/>
      <c r="K29" s="209"/>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207"/>
      <c r="E33" s="208"/>
      <c r="F33" s="208"/>
      <c r="G33" s="208"/>
      <c r="H33" s="208"/>
      <c r="I33" s="208"/>
      <c r="J33" s="208"/>
      <c r="K33" s="209"/>
      <c r="L33" s="41"/>
      <c r="M33" s="42"/>
      <c r="N33" s="1"/>
    </row>
    <row r="34" spans="2:14">
      <c r="B34" s="1"/>
      <c r="C34" s="37"/>
      <c r="D34" s="207"/>
      <c r="E34" s="208"/>
      <c r="F34" s="208"/>
      <c r="G34" s="208"/>
      <c r="H34" s="208"/>
      <c r="I34" s="208"/>
      <c r="J34" s="208"/>
      <c r="K34" s="209"/>
      <c r="L34" s="41"/>
      <c r="M34" s="42"/>
      <c r="N34" s="1"/>
    </row>
    <row r="35" spans="2:14">
      <c r="B35" s="1"/>
      <c r="C35" s="37"/>
      <c r="D35" s="244"/>
      <c r="E35" s="245"/>
      <c r="F35" s="245"/>
      <c r="G35" s="245"/>
      <c r="H35" s="245"/>
      <c r="I35" s="245"/>
      <c r="J35" s="245"/>
      <c r="K35" s="246"/>
      <c r="L35" s="41"/>
      <c r="M35" s="42" t="str">
        <f t="shared" si="0"/>
        <v/>
      </c>
      <c r="N35" s="1"/>
    </row>
    <row r="36" spans="2:14">
      <c r="B36" s="1"/>
      <c r="C36" s="37"/>
      <c r="D36" s="207"/>
      <c r="E36" s="208"/>
      <c r="F36" s="208"/>
      <c r="G36" s="208"/>
      <c r="H36" s="208"/>
      <c r="I36" s="208"/>
      <c r="J36" s="208"/>
      <c r="K36" s="209"/>
      <c r="L36" s="41"/>
      <c r="M36" s="42"/>
      <c r="N36" s="1"/>
    </row>
    <row r="37" spans="2:14">
      <c r="B37" s="1"/>
      <c r="C37" s="37"/>
      <c r="D37" s="207"/>
      <c r="E37" s="208"/>
      <c r="F37" s="208"/>
      <c r="G37" s="208"/>
      <c r="H37" s="208"/>
      <c r="I37" s="208"/>
      <c r="J37" s="208"/>
      <c r="K37" s="209"/>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207"/>
      <c r="E40" s="208"/>
      <c r="F40" s="208"/>
      <c r="G40" s="208"/>
      <c r="H40" s="208"/>
      <c r="I40" s="208"/>
      <c r="J40" s="208"/>
      <c r="K40" s="209"/>
      <c r="L40" s="41"/>
      <c r="M40" s="42"/>
      <c r="N40" s="1"/>
    </row>
    <row r="41" spans="2:14">
      <c r="B41" s="1"/>
      <c r="C41" s="37"/>
      <c r="D41" s="244"/>
      <c r="E41" s="245"/>
      <c r="F41" s="245"/>
      <c r="G41" s="245"/>
      <c r="H41" s="245"/>
      <c r="I41" s="245"/>
      <c r="J41" s="245"/>
      <c r="K41" s="246"/>
      <c r="L41" s="41"/>
      <c r="M41" s="42" t="str">
        <f t="shared" si="0"/>
        <v/>
      </c>
      <c r="N41" s="1"/>
    </row>
    <row r="42" spans="2:14">
      <c r="B42" s="1"/>
      <c r="C42" s="37"/>
      <c r="D42" s="207"/>
      <c r="E42" s="208"/>
      <c r="F42" s="208"/>
      <c r="G42" s="208"/>
      <c r="H42" s="208"/>
      <c r="I42" s="208"/>
      <c r="J42" s="208"/>
      <c r="K42" s="209"/>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207"/>
      <c r="E44" s="208"/>
      <c r="F44" s="208"/>
      <c r="G44" s="208"/>
      <c r="H44" s="208"/>
      <c r="I44" s="208"/>
      <c r="J44" s="208"/>
      <c r="K44" s="209"/>
      <c r="L44" s="41"/>
      <c r="M44" s="42"/>
      <c r="N44" s="1"/>
    </row>
    <row r="45" spans="2:14">
      <c r="B45" s="1"/>
      <c r="C45" s="37"/>
      <c r="D45" s="244"/>
      <c r="E45" s="250"/>
      <c r="F45" s="250"/>
      <c r="G45" s="250"/>
      <c r="H45" s="250"/>
      <c r="I45" s="250"/>
      <c r="J45" s="250"/>
      <c r="K45" s="246"/>
      <c r="L45" s="41"/>
      <c r="M45" s="42" t="str">
        <f t="shared" si="0"/>
        <v/>
      </c>
      <c r="N45" s="1"/>
    </row>
    <row r="46" spans="2:14">
      <c r="B46" s="1"/>
      <c r="C46" s="37"/>
      <c r="D46" s="207"/>
      <c r="E46" s="210"/>
      <c r="F46" s="210"/>
      <c r="G46" s="210"/>
      <c r="H46" s="210"/>
      <c r="I46" s="210"/>
      <c r="J46" s="210"/>
      <c r="K46" s="209"/>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930</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930</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21:K21"/>
    <mergeCell ref="H3:K6"/>
    <mergeCell ref="D14:H14"/>
    <mergeCell ref="D16:H16"/>
    <mergeCell ref="D18:K18"/>
    <mergeCell ref="D19:K19"/>
    <mergeCell ref="D43:K43"/>
    <mergeCell ref="D22:K22"/>
    <mergeCell ref="D24:K24"/>
    <mergeCell ref="D26:K26"/>
    <mergeCell ref="D27:K27"/>
    <mergeCell ref="D30:K30"/>
    <mergeCell ref="D31:K31"/>
    <mergeCell ref="D32:K32"/>
    <mergeCell ref="D35:K35"/>
    <mergeCell ref="D38:K38"/>
    <mergeCell ref="D39:K39"/>
    <mergeCell ref="D41:K41"/>
    <mergeCell ref="D64:L66"/>
    <mergeCell ref="D45:K45"/>
    <mergeCell ref="D47:K47"/>
    <mergeCell ref="D51:G56"/>
    <mergeCell ref="J54:M56"/>
    <mergeCell ref="C58:M61"/>
    <mergeCell ref="C63:M63"/>
  </mergeCells>
  <dataValidations count="9">
    <dataValidation type="decimal" allowBlank="1" showErrorMessage="1" errorTitle="Unit Price" error="You must enter a number into this cell." promptTitle="Unit Price" sqref="L19:L47" xr:uid="{5F920F41-9705-4B24-9515-7BA2B3A716A7}">
      <formula1>0</formula1>
      <formula2>1000000000</formula2>
    </dataValidation>
    <dataValidation type="whole" errorStyle="warning" allowBlank="1" showErrorMessage="1" errorTitle="Quantity" error="You must enter a number in this cell." promptTitle="Quantity" sqref="C19:C47" xr:uid="{E5A70521-F5B5-42CF-A4DD-5A17102A9E3C}">
      <formula1>0</formula1>
      <formula2>1000000000</formula2>
    </dataValidation>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E0172E3F-6BB5-4793-A134-5FEBD647F8F4}"/>
    <dataValidation allowBlank="1" showInputMessage="1" showErrorMessage="1" promptTitle="Tax Rate" prompt="To add a tax here, or to change the percentage associated with this tax, enter the tax rate in the cell to the left.  The tax rate will then be automatically calculated." sqref="L51 K50" xr:uid="{E45357CF-AE7C-477A-B883-39EE264C0E87}"/>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1D4A9AFA-0999-4581-BE8B-39E9FD0180D1}"/>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AAD3D873-3FBB-4B71-B6C8-DF092076656C}"/>
    <dataValidation errorStyle="warning" allowBlank="1" showInputMessage="1" errorTitle="State" promptTitle="State" prompt="Enter the state abbreviation into this cell." sqref="F15" xr:uid="{D3C8A8EC-4A82-4A9E-862F-90E4BAAAB070}"/>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27A3CA3C-E14C-4D5C-BE96-D22DCD43CCE1}"/>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B57A3686-5C8C-4C0E-87D9-A6A7EF8B912D}"/>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45D9C-286D-43FD-B525-93F3B2D5993F}">
  <sheetPr>
    <pageSetUpPr fitToPage="1"/>
  </sheetPr>
  <dimension ref="A2:N66"/>
  <sheetViews>
    <sheetView topLeftCell="A21" workbookViewId="0">
      <selection activeCell="D27" sqref="D27:K27"/>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88</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211" t="s">
        <v>36</v>
      </c>
      <c r="E13" s="211"/>
      <c r="F13" s="211"/>
      <c r="G13" s="211"/>
      <c r="H13" s="211"/>
      <c r="I13" s="21"/>
      <c r="J13" s="1"/>
      <c r="K13" s="1"/>
      <c r="L13" s="5" t="s">
        <v>1</v>
      </c>
      <c r="M13" s="50">
        <v>46155</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212" t="s">
        <v>8</v>
      </c>
      <c r="D18" s="254" t="s">
        <v>9</v>
      </c>
      <c r="E18" s="255"/>
      <c r="F18" s="255"/>
      <c r="G18" s="255"/>
      <c r="H18" s="255"/>
      <c r="I18" s="255"/>
      <c r="J18" s="255"/>
      <c r="K18" s="256"/>
      <c r="L18" s="212" t="s">
        <v>10</v>
      </c>
      <c r="M18" s="10" t="s">
        <v>11</v>
      </c>
      <c r="N18" s="1"/>
    </row>
    <row r="19" spans="2:14">
      <c r="B19" s="1"/>
      <c r="C19" s="36">
        <v>0.5</v>
      </c>
      <c r="D19" s="244" t="s">
        <v>51</v>
      </c>
      <c r="E19" s="245"/>
      <c r="F19" s="245"/>
      <c r="G19" s="245"/>
      <c r="H19" s="245"/>
      <c r="I19" s="245"/>
      <c r="J19" s="245"/>
      <c r="K19" s="246"/>
      <c r="L19" s="43">
        <v>150</v>
      </c>
      <c r="M19" s="45">
        <f t="shared" ref="M19:M45" si="0">IF(L19&lt;&gt;"",ROUND(L19*C19,2),"")</f>
        <v>75</v>
      </c>
      <c r="N19" s="1"/>
    </row>
    <row r="20" spans="2:14">
      <c r="B20" s="1"/>
      <c r="C20" s="37"/>
      <c r="D20" s="61"/>
      <c r="E20" s="210"/>
      <c r="F20" s="210"/>
      <c r="G20" s="210"/>
      <c r="H20" s="210"/>
      <c r="I20" s="210"/>
      <c r="J20" s="210"/>
      <c r="K20" s="209"/>
      <c r="L20" s="41"/>
      <c r="M20" s="42"/>
      <c r="N20" s="1"/>
    </row>
    <row r="21" spans="2:14">
      <c r="B21" s="1"/>
      <c r="C21" s="37">
        <v>4</v>
      </c>
      <c r="D21" s="263" t="s">
        <v>86</v>
      </c>
      <c r="E21" s="264"/>
      <c r="F21" s="264"/>
      <c r="G21" s="264"/>
      <c r="H21" s="264"/>
      <c r="I21" s="264"/>
      <c r="J21" s="264"/>
      <c r="K21" s="265"/>
      <c r="L21" s="41">
        <v>150</v>
      </c>
      <c r="M21" s="42">
        <f t="shared" si="0"/>
        <v>600</v>
      </c>
      <c r="N21" s="1"/>
    </row>
    <row r="22" spans="2:14">
      <c r="B22" s="1"/>
      <c r="C22" s="37">
        <v>1.5</v>
      </c>
      <c r="D22" s="244" t="s">
        <v>93</v>
      </c>
      <c r="E22" s="245"/>
      <c r="F22" s="245"/>
      <c r="G22" s="245"/>
      <c r="H22" s="245"/>
      <c r="I22" s="245"/>
      <c r="J22" s="245"/>
      <c r="K22" s="246"/>
      <c r="L22" s="41">
        <v>240</v>
      </c>
      <c r="M22" s="42">
        <f t="shared" si="0"/>
        <v>360</v>
      </c>
      <c r="N22" s="1"/>
    </row>
    <row r="23" spans="2:14">
      <c r="B23" s="1"/>
      <c r="C23" s="37"/>
      <c r="D23" s="207"/>
      <c r="E23" s="208"/>
      <c r="F23" s="208"/>
      <c r="G23" s="208"/>
      <c r="H23" s="208"/>
      <c r="I23" s="208"/>
      <c r="J23" s="208"/>
      <c r="K23" s="209"/>
      <c r="L23" s="41"/>
      <c r="M23" s="42" t="str">
        <f t="shared" si="0"/>
        <v/>
      </c>
      <c r="N23" s="1"/>
    </row>
    <row r="24" spans="2:14">
      <c r="B24" s="1"/>
      <c r="C24" s="37"/>
      <c r="D24" s="244"/>
      <c r="E24" s="245"/>
      <c r="F24" s="245"/>
      <c r="G24" s="245"/>
      <c r="H24" s="245"/>
      <c r="I24" s="245"/>
      <c r="J24" s="245"/>
      <c r="K24" s="246"/>
      <c r="L24" s="41"/>
      <c r="M24" s="42" t="str">
        <f t="shared" si="0"/>
        <v/>
      </c>
      <c r="N24" s="1"/>
    </row>
    <row r="25" spans="2:14">
      <c r="B25" s="1"/>
      <c r="C25" s="37"/>
      <c r="D25" s="207"/>
      <c r="E25" s="208"/>
      <c r="F25" s="208"/>
      <c r="G25" s="208"/>
      <c r="H25" s="208"/>
      <c r="I25" s="208"/>
      <c r="J25" s="208"/>
      <c r="K25" s="209"/>
      <c r="L25" s="41"/>
      <c r="M25" s="42"/>
      <c r="N25" s="1"/>
    </row>
    <row r="26" spans="2:14">
      <c r="B26" s="1"/>
      <c r="C26" s="37"/>
      <c r="D26" s="244"/>
      <c r="E26" s="245"/>
      <c r="F26" s="245"/>
      <c r="G26" s="245"/>
      <c r="H26" s="245"/>
      <c r="I26" s="245"/>
      <c r="J26" s="245"/>
      <c r="K26" s="246"/>
      <c r="L26" s="41"/>
      <c r="M26" s="42" t="str">
        <f t="shared" si="0"/>
        <v/>
      </c>
      <c r="N26" s="1"/>
    </row>
    <row r="27" spans="2:14">
      <c r="B27" s="1"/>
      <c r="C27" s="37"/>
      <c r="D27" s="244"/>
      <c r="E27" s="245"/>
      <c r="F27" s="245"/>
      <c r="G27" s="245"/>
      <c r="H27" s="245"/>
      <c r="I27" s="245"/>
      <c r="J27" s="245"/>
      <c r="K27" s="246"/>
      <c r="L27" s="41"/>
      <c r="M27" s="42" t="str">
        <f t="shared" si="0"/>
        <v/>
      </c>
      <c r="N27" s="1"/>
    </row>
    <row r="28" spans="2:14">
      <c r="B28" s="1"/>
      <c r="C28" s="37"/>
      <c r="D28" s="207"/>
      <c r="E28" s="208"/>
      <c r="F28" s="208"/>
      <c r="G28" s="208"/>
      <c r="H28" s="208"/>
      <c r="I28" s="208"/>
      <c r="J28" s="208"/>
      <c r="K28" s="209"/>
      <c r="L28" s="41"/>
      <c r="M28" s="42"/>
      <c r="N28" s="1"/>
    </row>
    <row r="29" spans="2:14">
      <c r="B29" s="1"/>
      <c r="C29" s="37"/>
      <c r="D29" s="207"/>
      <c r="E29" s="208"/>
      <c r="F29" s="208"/>
      <c r="G29" s="208"/>
      <c r="H29" s="208"/>
      <c r="I29" s="208"/>
      <c r="J29" s="208"/>
      <c r="K29" s="209"/>
      <c r="L29" s="41"/>
      <c r="M29" s="42" t="str">
        <f t="shared" si="0"/>
        <v/>
      </c>
      <c r="N29" s="1"/>
    </row>
    <row r="30" spans="2:14">
      <c r="B30" s="1"/>
      <c r="C30" s="37"/>
      <c r="D30" s="244"/>
      <c r="E30" s="245"/>
      <c r="F30" s="245"/>
      <c r="G30" s="245"/>
      <c r="H30" s="245"/>
      <c r="I30" s="245"/>
      <c r="J30" s="245"/>
      <c r="K30" s="246"/>
      <c r="L30" s="41"/>
      <c r="M30" s="42"/>
      <c r="N30" s="1"/>
    </row>
    <row r="31" spans="2:14">
      <c r="B31" s="1"/>
      <c r="C31" s="37"/>
      <c r="D31" s="244"/>
      <c r="E31" s="245"/>
      <c r="F31" s="245"/>
      <c r="G31" s="245"/>
      <c r="H31" s="245"/>
      <c r="I31" s="245"/>
      <c r="J31" s="245"/>
      <c r="K31" s="246"/>
      <c r="L31" s="41"/>
      <c r="M31" s="42" t="str">
        <f t="shared" si="0"/>
        <v/>
      </c>
      <c r="N31" s="1"/>
    </row>
    <row r="32" spans="2:14">
      <c r="B32" s="1"/>
      <c r="C32" s="37"/>
      <c r="D32" s="244"/>
      <c r="E32" s="245"/>
      <c r="F32" s="245"/>
      <c r="G32" s="245"/>
      <c r="H32" s="245"/>
      <c r="I32" s="245"/>
      <c r="J32" s="245"/>
      <c r="K32" s="246"/>
      <c r="L32" s="41"/>
      <c r="M32" s="42" t="str">
        <f t="shared" si="0"/>
        <v/>
      </c>
      <c r="N32" s="1"/>
    </row>
    <row r="33" spans="2:14">
      <c r="B33" s="1"/>
      <c r="C33" s="37"/>
      <c r="D33" s="207"/>
      <c r="E33" s="208"/>
      <c r="F33" s="208"/>
      <c r="G33" s="208"/>
      <c r="H33" s="208"/>
      <c r="I33" s="208"/>
      <c r="J33" s="208"/>
      <c r="K33" s="209"/>
      <c r="L33" s="41"/>
      <c r="M33" s="42"/>
      <c r="N33" s="1"/>
    </row>
    <row r="34" spans="2:14">
      <c r="B34" s="1"/>
      <c r="C34" s="37"/>
      <c r="D34" s="207"/>
      <c r="E34" s="208"/>
      <c r="F34" s="208"/>
      <c r="G34" s="208"/>
      <c r="H34" s="208"/>
      <c r="I34" s="208"/>
      <c r="J34" s="208"/>
      <c r="K34" s="209"/>
      <c r="L34" s="41"/>
      <c r="M34" s="42"/>
      <c r="N34" s="1"/>
    </row>
    <row r="35" spans="2:14">
      <c r="B35" s="1"/>
      <c r="C35" s="37"/>
      <c r="D35" s="244"/>
      <c r="E35" s="245"/>
      <c r="F35" s="245"/>
      <c r="G35" s="245"/>
      <c r="H35" s="245"/>
      <c r="I35" s="245"/>
      <c r="J35" s="245"/>
      <c r="K35" s="246"/>
      <c r="L35" s="41"/>
      <c r="M35" s="42" t="str">
        <f t="shared" si="0"/>
        <v/>
      </c>
      <c r="N35" s="1"/>
    </row>
    <row r="36" spans="2:14">
      <c r="B36" s="1"/>
      <c r="C36" s="37"/>
      <c r="D36" s="207"/>
      <c r="E36" s="208"/>
      <c r="F36" s="208"/>
      <c r="G36" s="208"/>
      <c r="H36" s="208"/>
      <c r="I36" s="208"/>
      <c r="J36" s="208"/>
      <c r="K36" s="209"/>
      <c r="L36" s="41"/>
      <c r="M36" s="42"/>
      <c r="N36" s="1"/>
    </row>
    <row r="37" spans="2:14">
      <c r="B37" s="1"/>
      <c r="C37" s="37"/>
      <c r="D37" s="207"/>
      <c r="E37" s="208"/>
      <c r="F37" s="208"/>
      <c r="G37" s="208"/>
      <c r="H37" s="208"/>
      <c r="I37" s="208"/>
      <c r="J37" s="208"/>
      <c r="K37" s="209"/>
      <c r="L37" s="41"/>
      <c r="M37" s="42"/>
      <c r="N37" s="1"/>
    </row>
    <row r="38" spans="2:14">
      <c r="B38" s="1"/>
      <c r="C38" s="37"/>
      <c r="D38" s="244"/>
      <c r="E38" s="245"/>
      <c r="F38" s="245"/>
      <c r="G38" s="245"/>
      <c r="H38" s="245"/>
      <c r="I38" s="245"/>
      <c r="J38" s="245"/>
      <c r="K38" s="246"/>
      <c r="L38" s="41"/>
      <c r="M38" s="42" t="str">
        <f t="shared" si="0"/>
        <v/>
      </c>
      <c r="N38" s="1"/>
    </row>
    <row r="39" spans="2:14">
      <c r="B39" s="1"/>
      <c r="C39" s="37"/>
      <c r="D39" s="244"/>
      <c r="E39" s="245"/>
      <c r="F39" s="245"/>
      <c r="G39" s="245"/>
      <c r="H39" s="245"/>
      <c r="I39" s="245"/>
      <c r="J39" s="245"/>
      <c r="K39" s="246"/>
      <c r="L39" s="41"/>
      <c r="M39" s="42" t="str">
        <f t="shared" si="0"/>
        <v/>
      </c>
      <c r="N39" s="1"/>
    </row>
    <row r="40" spans="2:14">
      <c r="B40" s="1"/>
      <c r="C40" s="37"/>
      <c r="D40" s="207"/>
      <c r="E40" s="208"/>
      <c r="F40" s="208"/>
      <c r="G40" s="208"/>
      <c r="H40" s="208"/>
      <c r="I40" s="208"/>
      <c r="J40" s="208"/>
      <c r="K40" s="209"/>
      <c r="L40" s="41"/>
      <c r="M40" s="42"/>
      <c r="N40" s="1"/>
    </row>
    <row r="41" spans="2:14">
      <c r="B41" s="1"/>
      <c r="C41" s="37"/>
      <c r="D41" s="244"/>
      <c r="E41" s="245"/>
      <c r="F41" s="245"/>
      <c r="G41" s="245"/>
      <c r="H41" s="245"/>
      <c r="I41" s="245"/>
      <c r="J41" s="245"/>
      <c r="K41" s="246"/>
      <c r="L41" s="41"/>
      <c r="M41" s="42" t="str">
        <f t="shared" si="0"/>
        <v/>
      </c>
      <c r="N41" s="1"/>
    </row>
    <row r="42" spans="2:14">
      <c r="B42" s="1"/>
      <c r="C42" s="37"/>
      <c r="D42" s="207"/>
      <c r="E42" s="208"/>
      <c r="F42" s="208"/>
      <c r="G42" s="208"/>
      <c r="H42" s="208"/>
      <c r="I42" s="208"/>
      <c r="J42" s="208"/>
      <c r="K42" s="209"/>
      <c r="L42" s="41"/>
      <c r="M42" s="42"/>
      <c r="N42" s="1"/>
    </row>
    <row r="43" spans="2:14">
      <c r="B43" s="1"/>
      <c r="C43" s="37"/>
      <c r="D43" s="244"/>
      <c r="E43" s="245"/>
      <c r="F43" s="245"/>
      <c r="G43" s="245"/>
      <c r="H43" s="245"/>
      <c r="I43" s="245"/>
      <c r="J43" s="245"/>
      <c r="K43" s="246"/>
      <c r="L43" s="41"/>
      <c r="M43" s="42" t="str">
        <f>IF(L43&lt;&gt;"",ROUND(L43*C43,2),"")</f>
        <v/>
      </c>
      <c r="N43" s="1"/>
    </row>
    <row r="44" spans="2:14">
      <c r="B44" s="1"/>
      <c r="C44" s="37"/>
      <c r="D44" s="207"/>
      <c r="E44" s="208"/>
      <c r="F44" s="208"/>
      <c r="G44" s="208"/>
      <c r="H44" s="208"/>
      <c r="I44" s="208"/>
      <c r="J44" s="208"/>
      <c r="K44" s="209"/>
      <c r="L44" s="41"/>
      <c r="M44" s="42"/>
      <c r="N44" s="1"/>
    </row>
    <row r="45" spans="2:14">
      <c r="B45" s="1"/>
      <c r="C45" s="37"/>
      <c r="D45" s="244"/>
      <c r="E45" s="250"/>
      <c r="F45" s="250"/>
      <c r="G45" s="250"/>
      <c r="H45" s="250"/>
      <c r="I45" s="250"/>
      <c r="J45" s="250"/>
      <c r="K45" s="246"/>
      <c r="L45" s="41"/>
      <c r="M45" s="42" t="str">
        <f t="shared" si="0"/>
        <v/>
      </c>
      <c r="N45" s="1"/>
    </row>
    <row r="46" spans="2:14">
      <c r="B46" s="1"/>
      <c r="C46" s="37"/>
      <c r="D46" s="207"/>
      <c r="E46" s="210"/>
      <c r="F46" s="210"/>
      <c r="G46" s="210"/>
      <c r="H46" s="210"/>
      <c r="I46" s="210"/>
      <c r="J46" s="210"/>
      <c r="K46" s="209"/>
      <c r="L46" s="41"/>
      <c r="M46" s="42"/>
      <c r="N46" s="1"/>
    </row>
    <row r="47" spans="2:14">
      <c r="B47" s="1"/>
      <c r="C47" s="38"/>
      <c r="D47" s="247"/>
      <c r="E47" s="248"/>
      <c r="F47" s="248"/>
      <c r="G47" s="248"/>
      <c r="H47" s="248"/>
      <c r="I47" s="248"/>
      <c r="J47" s="248"/>
      <c r="K47" s="249"/>
      <c r="L47" s="44"/>
      <c r="M47" s="46" t="str">
        <f>IF(L47&lt;&gt;"",ROUND(L47*C47,2),"")</f>
        <v/>
      </c>
      <c r="N47" s="1"/>
    </row>
    <row r="48" spans="2:14">
      <c r="B48" s="1"/>
      <c r="C48" s="1"/>
      <c r="D48" s="1"/>
      <c r="E48" s="1"/>
      <c r="F48" s="1"/>
      <c r="G48" s="1"/>
      <c r="H48" s="1"/>
      <c r="I48" s="1"/>
      <c r="J48" s="1"/>
      <c r="K48" s="1"/>
      <c r="L48" s="11" t="s">
        <v>12</v>
      </c>
      <c r="M48" s="62">
        <f>IF(SUM(M19:M47)&gt;0,SUM(M19:M47),"")</f>
        <v>1035</v>
      </c>
      <c r="N48" s="1"/>
    </row>
    <row r="49" spans="2:14" ht="13.5" thickBot="1">
      <c r="B49" s="1"/>
      <c r="C49" s="1"/>
      <c r="D49" s="1"/>
      <c r="E49" s="1"/>
      <c r="F49" s="1"/>
      <c r="G49" s="1"/>
      <c r="H49" s="1"/>
      <c r="I49" s="1"/>
      <c r="J49" s="1"/>
      <c r="K49" s="1"/>
      <c r="L49" s="11"/>
      <c r="M49" s="47"/>
      <c r="N49" s="1"/>
    </row>
    <row r="50" spans="2:14" ht="13.5" thickBot="1">
      <c r="B50" s="1"/>
      <c r="C50" s="17" t="s">
        <v>16</v>
      </c>
      <c r="D50" s="18"/>
      <c r="E50" s="19"/>
      <c r="F50" s="19"/>
      <c r="G50" s="13"/>
      <c r="H50" s="13"/>
      <c r="I50" s="8" t="s">
        <v>17</v>
      </c>
      <c r="J50" s="11"/>
      <c r="K50" s="23"/>
      <c r="L50" s="49"/>
      <c r="M50" s="48"/>
      <c r="N50" s="1"/>
    </row>
    <row r="51" spans="2:14">
      <c r="B51" s="1"/>
      <c r="C51" s="12"/>
      <c r="D51" s="242" t="s">
        <v>25</v>
      </c>
      <c r="E51" s="242"/>
      <c r="F51" s="242"/>
      <c r="G51" s="242"/>
      <c r="H51" s="13"/>
      <c r="I51" s="13"/>
      <c r="J51" s="1"/>
      <c r="K51" s="1"/>
      <c r="L51" s="24">
        <v>0</v>
      </c>
      <c r="M51" s="49"/>
      <c r="N51" s="1"/>
    </row>
    <row r="52" spans="2:14">
      <c r="B52" s="1"/>
      <c r="C52" s="15"/>
      <c r="D52" s="242"/>
      <c r="E52" s="242"/>
      <c r="F52" s="242"/>
      <c r="G52" s="242"/>
      <c r="H52" s="14"/>
      <c r="I52" s="14"/>
      <c r="J52" s="1"/>
      <c r="K52" s="1"/>
      <c r="L52" s="2" t="s">
        <v>13</v>
      </c>
      <c r="M52" s="63">
        <f>IF(M48&lt;&gt;"",SUM(M48:M51),"")</f>
        <v>1035</v>
      </c>
      <c r="N52" s="1"/>
    </row>
    <row r="53" spans="2:14">
      <c r="B53" s="1"/>
      <c r="C53" s="15"/>
      <c r="D53" s="242"/>
      <c r="E53" s="242"/>
      <c r="F53" s="242"/>
      <c r="G53" s="242"/>
      <c r="H53" s="14"/>
      <c r="I53" s="14"/>
      <c r="J53" s="1"/>
      <c r="K53" s="1"/>
      <c r="L53" s="1"/>
      <c r="M53" s="1"/>
      <c r="N53" s="1"/>
    </row>
    <row r="54" spans="2:14" ht="12.75" customHeight="1">
      <c r="B54" s="1"/>
      <c r="C54" s="15"/>
      <c r="D54" s="242"/>
      <c r="E54" s="242"/>
      <c r="F54" s="242"/>
      <c r="G54" s="242"/>
      <c r="H54" s="1"/>
      <c r="I54" s="1"/>
      <c r="J54" s="224"/>
      <c r="K54" s="225"/>
      <c r="L54" s="225"/>
      <c r="M54" s="226"/>
      <c r="N54" s="1"/>
    </row>
    <row r="55" spans="2:14">
      <c r="B55" s="1"/>
      <c r="C55" s="15"/>
      <c r="D55" s="242"/>
      <c r="E55" s="242"/>
      <c r="F55" s="242"/>
      <c r="G55" s="242"/>
      <c r="H55" s="1"/>
      <c r="I55" s="1"/>
      <c r="J55" s="227"/>
      <c r="K55" s="228"/>
      <c r="L55" s="228"/>
      <c r="M55" s="229"/>
      <c r="N55" s="1"/>
    </row>
    <row r="56" spans="2:14">
      <c r="B56" s="1"/>
      <c r="C56" s="1"/>
      <c r="D56" s="242"/>
      <c r="E56" s="242"/>
      <c r="F56" s="242"/>
      <c r="G56" s="242"/>
      <c r="H56" s="1"/>
      <c r="I56" s="1"/>
      <c r="J56" s="230"/>
      <c r="K56" s="231"/>
      <c r="L56" s="231"/>
      <c r="M56" s="232"/>
      <c r="N56" s="1"/>
    </row>
    <row r="57" spans="2:14" ht="33.75" customHeight="1">
      <c r="B57" s="1"/>
      <c r="C57" s="1"/>
      <c r="D57" s="1"/>
      <c r="E57" s="1"/>
      <c r="F57" s="1"/>
      <c r="G57" s="1"/>
      <c r="H57" s="1"/>
      <c r="I57" s="1"/>
      <c r="J57" s="1"/>
      <c r="K57" s="1"/>
      <c r="L57" s="1"/>
      <c r="M57" s="1"/>
      <c r="N57" s="1"/>
    </row>
    <row r="58" spans="2:14" ht="12.75" customHeight="1">
      <c r="B58" s="1"/>
      <c r="C58" s="233" t="s">
        <v>27</v>
      </c>
      <c r="D58" s="234"/>
      <c r="E58" s="234"/>
      <c r="F58" s="234"/>
      <c r="G58" s="234"/>
      <c r="H58" s="234"/>
      <c r="I58" s="234"/>
      <c r="J58" s="234"/>
      <c r="K58" s="234"/>
      <c r="L58" s="234"/>
      <c r="M58" s="235"/>
      <c r="N58" s="1"/>
    </row>
    <row r="59" spans="2:14">
      <c r="B59" s="1"/>
      <c r="C59" s="236"/>
      <c r="D59" s="237"/>
      <c r="E59" s="237"/>
      <c r="F59" s="237"/>
      <c r="G59" s="237"/>
      <c r="H59" s="237"/>
      <c r="I59" s="237"/>
      <c r="J59" s="237"/>
      <c r="K59" s="237"/>
      <c r="L59" s="237"/>
      <c r="M59" s="238"/>
      <c r="N59" s="1"/>
    </row>
    <row r="60" spans="2:14">
      <c r="B60" s="1"/>
      <c r="C60" s="236"/>
      <c r="D60" s="237"/>
      <c r="E60" s="237"/>
      <c r="F60" s="237"/>
      <c r="G60" s="237"/>
      <c r="H60" s="237"/>
      <c r="I60" s="237"/>
      <c r="J60" s="237"/>
      <c r="K60" s="237"/>
      <c r="L60" s="237"/>
      <c r="M60" s="238"/>
      <c r="N60" s="1"/>
    </row>
    <row r="61" spans="2:14" ht="63" customHeight="1">
      <c r="B61" s="1"/>
      <c r="C61" s="239"/>
      <c r="D61" s="240"/>
      <c r="E61" s="240"/>
      <c r="F61" s="240"/>
      <c r="G61" s="240"/>
      <c r="H61" s="240"/>
      <c r="I61" s="240"/>
      <c r="J61" s="240"/>
      <c r="K61" s="240"/>
      <c r="L61" s="240"/>
      <c r="M61" s="241"/>
      <c r="N61" s="1"/>
    </row>
    <row r="62" spans="2:14" ht="13.5" thickBot="1">
      <c r="B62" s="1"/>
      <c r="C62" s="1"/>
      <c r="D62" s="1"/>
      <c r="E62" s="1"/>
      <c r="F62" s="1"/>
      <c r="G62" s="1"/>
      <c r="H62" s="1"/>
      <c r="I62" s="1"/>
      <c r="J62" s="1"/>
      <c r="K62" s="1"/>
      <c r="L62" s="1"/>
      <c r="M62" s="1"/>
      <c r="N62" s="1"/>
    </row>
    <row r="63" spans="2:14" ht="13.5" thickTop="1">
      <c r="B63" s="1"/>
      <c r="C63" s="243" t="s">
        <v>28</v>
      </c>
      <c r="D63" s="243"/>
      <c r="E63" s="243"/>
      <c r="F63" s="243"/>
      <c r="G63" s="243"/>
      <c r="H63" s="243"/>
      <c r="I63" s="243"/>
      <c r="J63" s="243"/>
      <c r="K63" s="243"/>
      <c r="L63" s="243"/>
      <c r="M63" s="243"/>
      <c r="N63" s="1"/>
    </row>
    <row r="64" spans="2:14" ht="12.75" customHeight="1">
      <c r="B64" s="1"/>
      <c r="C64" s="1"/>
      <c r="D64" s="222"/>
      <c r="E64" s="222"/>
      <c r="F64" s="222"/>
      <c r="G64" s="222"/>
      <c r="H64" s="222"/>
      <c r="I64" s="222"/>
      <c r="J64" s="222"/>
      <c r="K64" s="222"/>
      <c r="L64" s="222"/>
      <c r="M64" s="1"/>
      <c r="N64" s="1"/>
    </row>
    <row r="65" spans="2:14">
      <c r="B65" s="1"/>
      <c r="C65" s="1"/>
      <c r="D65" s="223"/>
      <c r="E65" s="223"/>
      <c r="F65" s="223"/>
      <c r="G65" s="223"/>
      <c r="H65" s="223"/>
      <c r="I65" s="223"/>
      <c r="J65" s="223"/>
      <c r="K65" s="223"/>
      <c r="L65" s="223"/>
      <c r="M65" s="1"/>
      <c r="N65" s="1"/>
    </row>
    <row r="66" spans="2:14">
      <c r="B66" s="1"/>
      <c r="C66" s="1"/>
      <c r="D66" s="223"/>
      <c r="E66" s="223"/>
      <c r="F66" s="223"/>
      <c r="G66" s="223"/>
      <c r="H66" s="223"/>
      <c r="I66" s="223"/>
      <c r="J66" s="223"/>
      <c r="K66" s="223"/>
      <c r="L66" s="223"/>
      <c r="M66" s="1"/>
      <c r="N66" s="1"/>
    </row>
  </sheetData>
  <sheetProtection selectLockedCells="1"/>
  <mergeCells count="25">
    <mergeCell ref="D21:K21"/>
    <mergeCell ref="H3:K6"/>
    <mergeCell ref="D14:H14"/>
    <mergeCell ref="D16:H16"/>
    <mergeCell ref="D18:K18"/>
    <mergeCell ref="D19:K19"/>
    <mergeCell ref="D43:K43"/>
    <mergeCell ref="D22:K22"/>
    <mergeCell ref="D24:K24"/>
    <mergeCell ref="D26:K26"/>
    <mergeCell ref="D27:K27"/>
    <mergeCell ref="D30:K30"/>
    <mergeCell ref="D31:K31"/>
    <mergeCell ref="D32:K32"/>
    <mergeCell ref="D35:K35"/>
    <mergeCell ref="D38:K38"/>
    <mergeCell ref="D39:K39"/>
    <mergeCell ref="D41:K41"/>
    <mergeCell ref="D64:L66"/>
    <mergeCell ref="D45:K45"/>
    <mergeCell ref="D47:K47"/>
    <mergeCell ref="D51:G56"/>
    <mergeCell ref="J54:M56"/>
    <mergeCell ref="C58:M61"/>
    <mergeCell ref="C63:M63"/>
  </mergeCells>
  <dataValidations count="9">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8" xr:uid="{226D85D7-B6C6-4F9C-AF9E-CC6EDC6824FA}"/>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4" xr:uid="{A39CE3F6-A850-4156-9D50-B6E2C38DB0BF}"/>
    <dataValidation errorStyle="warning" allowBlank="1" showInputMessage="1" errorTitle="State" promptTitle="State" prompt="Enter the state abbreviation into this cell." sqref="F15" xr:uid="{866F84D8-127F-4353-A42E-3F43AE46556B}"/>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4" xr:uid="{656172E0-D7C0-4E81-BFCF-8F643305C978}"/>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9" xr:uid="{56B57A77-5237-4B3D-9CC5-9AB542ACEB21}"/>
    <dataValidation allowBlank="1" showInputMessage="1" showErrorMessage="1" promptTitle="Tax Rate" prompt="To add a tax here, or to change the percentage associated with this tax, enter the tax rate in the cell to the left.  The tax rate will then be automatically calculated." sqref="L51 K50" xr:uid="{011F2FC6-92B9-4FD4-92B8-151C134C0096}"/>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E3611AF2-AE30-479C-95A3-EECDCE68FB5A}"/>
    <dataValidation type="whole" errorStyle="warning" allowBlank="1" showErrorMessage="1" errorTitle="Quantity" error="You must enter a number in this cell." promptTitle="Quantity" sqref="C19:C47" xr:uid="{774E67BE-4778-4439-A7CA-88D8DF391D4F}">
      <formula1>0</formula1>
      <formula2>1000000000</formula2>
    </dataValidation>
    <dataValidation type="decimal" allowBlank="1" showErrorMessage="1" errorTitle="Unit Price" error="You must enter a number into this cell." promptTitle="Unit Price" sqref="L19:L47" xr:uid="{0CC1373D-E999-466C-8209-9E392275F54C}">
      <formula1>0</formula1>
      <formula2>1000000000</formula2>
    </dataValidation>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FFB0D-BFE6-4F78-A52A-D1D40F6CDC3F}">
  <sheetPr>
    <pageSetUpPr fitToPage="1"/>
  </sheetPr>
  <dimension ref="A2:N64"/>
  <sheetViews>
    <sheetView topLeftCell="A10" zoomScale="85" zoomScaleNormal="85" workbookViewId="0">
      <selection activeCell="M14" sqref="M14"/>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90</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211" t="s">
        <v>36</v>
      </c>
      <c r="E13" s="211"/>
      <c r="F13" s="211"/>
      <c r="G13" s="211"/>
      <c r="H13" s="211"/>
      <c r="I13" s="21"/>
      <c r="J13" s="1"/>
      <c r="K13" s="1"/>
      <c r="L13" s="5" t="s">
        <v>1</v>
      </c>
      <c r="M13" s="50">
        <v>46227</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212" t="s">
        <v>8</v>
      </c>
      <c r="D18" s="254" t="s">
        <v>9</v>
      </c>
      <c r="E18" s="255"/>
      <c r="F18" s="255"/>
      <c r="G18" s="255"/>
      <c r="H18" s="255"/>
      <c r="I18" s="255"/>
      <c r="J18" s="255"/>
      <c r="K18" s="256"/>
      <c r="L18" s="212" t="s">
        <v>10</v>
      </c>
      <c r="M18" s="10" t="s">
        <v>11</v>
      </c>
      <c r="N18" s="1"/>
    </row>
    <row r="19" spans="2:14">
      <c r="B19" s="1"/>
      <c r="C19" s="37"/>
      <c r="D19" s="61"/>
      <c r="E19" s="210"/>
      <c r="F19" s="210"/>
      <c r="G19" s="210"/>
      <c r="H19" s="210"/>
      <c r="I19" s="210"/>
      <c r="J19" s="210"/>
      <c r="K19" s="209"/>
      <c r="L19" s="41"/>
      <c r="M19" s="42"/>
      <c r="N19" s="1"/>
    </row>
    <row r="20" spans="2:14">
      <c r="B20" s="1"/>
      <c r="C20" s="37">
        <v>4</v>
      </c>
      <c r="D20" s="263" t="s">
        <v>86</v>
      </c>
      <c r="E20" s="264"/>
      <c r="F20" s="264"/>
      <c r="G20" s="264"/>
      <c r="H20" s="264"/>
      <c r="I20" s="264"/>
      <c r="J20" s="264"/>
      <c r="K20" s="265"/>
      <c r="L20" s="41">
        <v>150</v>
      </c>
      <c r="M20" s="42">
        <f t="shared" ref="M20:M43" si="0">IF(L20&lt;&gt;"",ROUND(L20*C20,2),"")</f>
        <v>600</v>
      </c>
      <c r="N20" s="1"/>
    </row>
    <row r="21" spans="2:14">
      <c r="B21" s="1"/>
      <c r="C21" s="37"/>
      <c r="D21" s="263"/>
      <c r="E21" s="264"/>
      <c r="F21" s="264"/>
      <c r="G21" s="264"/>
      <c r="H21" s="264"/>
      <c r="I21" s="264"/>
      <c r="J21" s="264"/>
      <c r="K21" s="265"/>
      <c r="L21" s="41"/>
      <c r="M21" s="42"/>
      <c r="N21" s="1"/>
    </row>
    <row r="22" spans="2:14">
      <c r="B22" s="1"/>
      <c r="C22" s="37"/>
      <c r="D22" s="244"/>
      <c r="E22" s="245"/>
      <c r="F22" s="245"/>
      <c r="G22" s="245"/>
      <c r="H22" s="245"/>
      <c r="I22" s="245"/>
      <c r="J22" s="245"/>
      <c r="K22" s="246"/>
      <c r="L22" s="41"/>
      <c r="M22" s="42" t="str">
        <f t="shared" si="0"/>
        <v/>
      </c>
      <c r="N22" s="1"/>
    </row>
    <row r="23" spans="2:14">
      <c r="B23" s="1"/>
      <c r="C23" s="37"/>
      <c r="D23" s="207"/>
      <c r="E23" s="208"/>
      <c r="F23" s="208"/>
      <c r="G23" s="208"/>
      <c r="H23" s="208"/>
      <c r="I23" s="208"/>
      <c r="J23" s="208"/>
      <c r="K23" s="209"/>
      <c r="L23" s="41"/>
      <c r="M23" s="42"/>
      <c r="N23" s="1"/>
    </row>
    <row r="24" spans="2:14">
      <c r="B24" s="1"/>
      <c r="C24" s="37"/>
      <c r="D24" s="244"/>
      <c r="E24" s="245"/>
      <c r="F24" s="245"/>
      <c r="G24" s="245"/>
      <c r="H24" s="245"/>
      <c r="I24" s="245"/>
      <c r="J24" s="245"/>
      <c r="K24" s="246"/>
      <c r="L24" s="41"/>
      <c r="M24" s="42" t="str">
        <f t="shared" si="0"/>
        <v/>
      </c>
      <c r="N24" s="1"/>
    </row>
    <row r="25" spans="2:14">
      <c r="B25" s="1"/>
      <c r="C25" s="37"/>
      <c r="D25" s="244"/>
      <c r="E25" s="245"/>
      <c r="F25" s="245"/>
      <c r="G25" s="245"/>
      <c r="H25" s="245"/>
      <c r="I25" s="245"/>
      <c r="J25" s="245"/>
      <c r="K25" s="246"/>
      <c r="L25" s="41"/>
      <c r="M25" s="42" t="str">
        <f t="shared" si="0"/>
        <v/>
      </c>
      <c r="N25" s="1"/>
    </row>
    <row r="26" spans="2:14">
      <c r="B26" s="1"/>
      <c r="C26" s="37"/>
      <c r="D26" s="207"/>
      <c r="E26" s="208"/>
      <c r="F26" s="208"/>
      <c r="G26" s="208"/>
      <c r="H26" s="208"/>
      <c r="I26" s="208"/>
      <c r="J26" s="208"/>
      <c r="K26" s="209"/>
      <c r="L26" s="41"/>
      <c r="M26" s="42"/>
      <c r="N26" s="1"/>
    </row>
    <row r="27" spans="2:14">
      <c r="B27" s="1"/>
      <c r="C27" s="37"/>
      <c r="D27" s="207"/>
      <c r="E27" s="208"/>
      <c r="F27" s="208"/>
      <c r="G27" s="208"/>
      <c r="H27" s="208"/>
      <c r="I27" s="208"/>
      <c r="J27" s="208"/>
      <c r="K27" s="209"/>
      <c r="L27" s="41"/>
      <c r="M27" s="42" t="str">
        <f t="shared" si="0"/>
        <v/>
      </c>
      <c r="N27" s="1"/>
    </row>
    <row r="28" spans="2:14">
      <c r="B28" s="1"/>
      <c r="C28" s="37"/>
      <c r="D28" s="244"/>
      <c r="E28" s="245"/>
      <c r="F28" s="245"/>
      <c r="G28" s="245"/>
      <c r="H28" s="245"/>
      <c r="I28" s="245"/>
      <c r="J28" s="245"/>
      <c r="K28" s="246"/>
      <c r="L28" s="41"/>
      <c r="M28" s="42"/>
      <c r="N28" s="1"/>
    </row>
    <row r="29" spans="2:14">
      <c r="B29" s="1"/>
      <c r="C29" s="37"/>
      <c r="D29" s="244"/>
      <c r="E29" s="245"/>
      <c r="F29" s="245"/>
      <c r="G29" s="245"/>
      <c r="H29" s="245"/>
      <c r="I29" s="245"/>
      <c r="J29" s="245"/>
      <c r="K29" s="246"/>
      <c r="L29" s="41"/>
      <c r="M29" s="42" t="str">
        <f t="shared" si="0"/>
        <v/>
      </c>
      <c r="N29" s="1"/>
    </row>
    <row r="30" spans="2:14">
      <c r="B30" s="1"/>
      <c r="C30" s="37"/>
      <c r="D30" s="244"/>
      <c r="E30" s="245"/>
      <c r="F30" s="245"/>
      <c r="G30" s="245"/>
      <c r="H30" s="245"/>
      <c r="I30" s="245"/>
      <c r="J30" s="245"/>
      <c r="K30" s="246"/>
      <c r="L30" s="41"/>
      <c r="M30" s="42" t="str">
        <f t="shared" si="0"/>
        <v/>
      </c>
      <c r="N30" s="1"/>
    </row>
    <row r="31" spans="2:14">
      <c r="B31" s="1"/>
      <c r="C31" s="37"/>
      <c r="D31" s="207"/>
      <c r="E31" s="208"/>
      <c r="F31" s="208"/>
      <c r="G31" s="208"/>
      <c r="H31" s="208"/>
      <c r="I31" s="208"/>
      <c r="J31" s="208"/>
      <c r="K31" s="209"/>
      <c r="L31" s="41"/>
      <c r="M31" s="42"/>
      <c r="N31" s="1"/>
    </row>
    <row r="32" spans="2:14">
      <c r="B32" s="1"/>
      <c r="C32" s="37"/>
      <c r="D32" s="207"/>
      <c r="E32" s="208"/>
      <c r="F32" s="208"/>
      <c r="G32" s="208"/>
      <c r="H32" s="208"/>
      <c r="I32" s="208"/>
      <c r="J32" s="208"/>
      <c r="K32" s="209"/>
      <c r="L32" s="41"/>
      <c r="M32" s="42"/>
      <c r="N32" s="1"/>
    </row>
    <row r="33" spans="2:14">
      <c r="B33" s="1"/>
      <c r="C33" s="37"/>
      <c r="D33" s="244"/>
      <c r="E33" s="245"/>
      <c r="F33" s="245"/>
      <c r="G33" s="245"/>
      <c r="H33" s="245"/>
      <c r="I33" s="245"/>
      <c r="J33" s="245"/>
      <c r="K33" s="246"/>
      <c r="L33" s="41"/>
      <c r="M33" s="42" t="str">
        <f t="shared" si="0"/>
        <v/>
      </c>
      <c r="N33" s="1"/>
    </row>
    <row r="34" spans="2:14">
      <c r="B34" s="1"/>
      <c r="C34" s="37"/>
      <c r="D34" s="207"/>
      <c r="E34" s="208"/>
      <c r="F34" s="208"/>
      <c r="G34" s="208"/>
      <c r="H34" s="208"/>
      <c r="I34" s="208"/>
      <c r="J34" s="208"/>
      <c r="K34" s="209"/>
      <c r="L34" s="41"/>
      <c r="M34" s="42"/>
      <c r="N34" s="1"/>
    </row>
    <row r="35" spans="2:14">
      <c r="B35" s="1"/>
      <c r="C35" s="37"/>
      <c r="D35" s="207"/>
      <c r="E35" s="208"/>
      <c r="F35" s="208"/>
      <c r="G35" s="208"/>
      <c r="H35" s="208"/>
      <c r="I35" s="208"/>
      <c r="J35" s="208"/>
      <c r="K35" s="209"/>
      <c r="L35" s="41"/>
      <c r="M35" s="42"/>
      <c r="N35" s="1"/>
    </row>
    <row r="36" spans="2:14">
      <c r="B36" s="1"/>
      <c r="C36" s="37"/>
      <c r="D36" s="244"/>
      <c r="E36" s="245"/>
      <c r="F36" s="245"/>
      <c r="G36" s="245"/>
      <c r="H36" s="245"/>
      <c r="I36" s="245"/>
      <c r="J36" s="245"/>
      <c r="K36" s="246"/>
      <c r="L36" s="41"/>
      <c r="M36" s="42" t="str">
        <f t="shared" si="0"/>
        <v/>
      </c>
      <c r="N36" s="1"/>
    </row>
    <row r="37" spans="2:14">
      <c r="B37" s="1"/>
      <c r="C37" s="37"/>
      <c r="D37" s="244"/>
      <c r="E37" s="245"/>
      <c r="F37" s="245"/>
      <c r="G37" s="245"/>
      <c r="H37" s="245"/>
      <c r="I37" s="245"/>
      <c r="J37" s="245"/>
      <c r="K37" s="246"/>
      <c r="L37" s="41"/>
      <c r="M37" s="42" t="str">
        <f t="shared" si="0"/>
        <v/>
      </c>
      <c r="N37" s="1"/>
    </row>
    <row r="38" spans="2:14">
      <c r="B38" s="1"/>
      <c r="C38" s="37"/>
      <c r="D38" s="207"/>
      <c r="E38" s="208"/>
      <c r="F38" s="208"/>
      <c r="G38" s="208"/>
      <c r="H38" s="208"/>
      <c r="I38" s="208"/>
      <c r="J38" s="208"/>
      <c r="K38" s="209"/>
      <c r="L38" s="41"/>
      <c r="M38" s="42"/>
      <c r="N38" s="1"/>
    </row>
    <row r="39" spans="2:14">
      <c r="B39" s="1"/>
      <c r="C39" s="37"/>
      <c r="D39" s="244"/>
      <c r="E39" s="245"/>
      <c r="F39" s="245"/>
      <c r="G39" s="245"/>
      <c r="H39" s="245"/>
      <c r="I39" s="245"/>
      <c r="J39" s="245"/>
      <c r="K39" s="246"/>
      <c r="L39" s="41"/>
      <c r="M39" s="42" t="str">
        <f t="shared" si="0"/>
        <v/>
      </c>
      <c r="N39" s="1"/>
    </row>
    <row r="40" spans="2:14">
      <c r="B40" s="1"/>
      <c r="C40" s="37"/>
      <c r="D40" s="207"/>
      <c r="E40" s="208"/>
      <c r="F40" s="208"/>
      <c r="G40" s="208"/>
      <c r="H40" s="208"/>
      <c r="I40" s="208"/>
      <c r="J40" s="208"/>
      <c r="K40" s="209"/>
      <c r="L40" s="41"/>
      <c r="M40" s="42"/>
      <c r="N40" s="1"/>
    </row>
    <row r="41" spans="2:14">
      <c r="B41" s="1"/>
      <c r="C41" s="37"/>
      <c r="D41" s="244"/>
      <c r="E41" s="245"/>
      <c r="F41" s="245"/>
      <c r="G41" s="245"/>
      <c r="H41" s="245"/>
      <c r="I41" s="245"/>
      <c r="J41" s="245"/>
      <c r="K41" s="246"/>
      <c r="L41" s="41"/>
      <c r="M41" s="42" t="str">
        <f>IF(L41&lt;&gt;"",ROUND(L41*C41,2),"")</f>
        <v/>
      </c>
      <c r="N41" s="1"/>
    </row>
    <row r="42" spans="2:14">
      <c r="B42" s="1"/>
      <c r="C42" s="37"/>
      <c r="D42" s="207"/>
      <c r="E42" s="208"/>
      <c r="F42" s="208"/>
      <c r="G42" s="208"/>
      <c r="H42" s="208"/>
      <c r="I42" s="208"/>
      <c r="J42" s="208"/>
      <c r="K42" s="209"/>
      <c r="L42" s="41"/>
      <c r="M42" s="42"/>
      <c r="N42" s="1"/>
    </row>
    <row r="43" spans="2:14">
      <c r="B43" s="1"/>
      <c r="C43" s="37"/>
      <c r="D43" s="244"/>
      <c r="E43" s="250"/>
      <c r="F43" s="250"/>
      <c r="G43" s="250"/>
      <c r="H43" s="250"/>
      <c r="I43" s="250"/>
      <c r="J43" s="250"/>
      <c r="K43" s="246"/>
      <c r="L43" s="41"/>
      <c r="M43" s="42" t="str">
        <f t="shared" si="0"/>
        <v/>
      </c>
      <c r="N43" s="1"/>
    </row>
    <row r="44" spans="2:14">
      <c r="B44" s="1"/>
      <c r="C44" s="37"/>
      <c r="D44" s="207"/>
      <c r="E44" s="210"/>
      <c r="F44" s="210"/>
      <c r="G44" s="210"/>
      <c r="H44" s="210"/>
      <c r="I44" s="210"/>
      <c r="J44" s="210"/>
      <c r="K44" s="209"/>
      <c r="L44" s="41"/>
      <c r="M44" s="42"/>
      <c r="N44" s="1"/>
    </row>
    <row r="45" spans="2:14">
      <c r="B45" s="1"/>
      <c r="C45" s="38"/>
      <c r="D45" s="247"/>
      <c r="E45" s="248"/>
      <c r="F45" s="248"/>
      <c r="G45" s="248"/>
      <c r="H45" s="248"/>
      <c r="I45" s="248"/>
      <c r="J45" s="248"/>
      <c r="K45" s="249"/>
      <c r="L45" s="44"/>
      <c r="M45" s="46" t="str">
        <f>IF(L45&lt;&gt;"",ROUND(L45*C45,2),"")</f>
        <v/>
      </c>
      <c r="N45" s="1"/>
    </row>
    <row r="46" spans="2:14">
      <c r="B46" s="1"/>
      <c r="C46" s="1"/>
      <c r="D46" s="1"/>
      <c r="E46" s="1"/>
      <c r="F46" s="1"/>
      <c r="G46" s="1"/>
      <c r="H46" s="1"/>
      <c r="I46" s="1"/>
      <c r="J46" s="1"/>
      <c r="K46" s="1"/>
      <c r="L46" s="11" t="s">
        <v>12</v>
      </c>
      <c r="M46" s="62">
        <f>IF(SUM(M19:M45)&gt;0,SUM(M19:M45),"")</f>
        <v>600</v>
      </c>
      <c r="N46" s="1"/>
    </row>
    <row r="47" spans="2:14" ht="13.5" thickBot="1">
      <c r="B47" s="1"/>
      <c r="C47" s="1"/>
      <c r="D47" s="1"/>
      <c r="E47" s="1"/>
      <c r="F47" s="1"/>
      <c r="G47" s="1"/>
      <c r="H47" s="1"/>
      <c r="I47" s="1"/>
      <c r="J47" s="1"/>
      <c r="K47" s="1"/>
      <c r="L47" s="11"/>
      <c r="M47" s="47"/>
      <c r="N47" s="1"/>
    </row>
    <row r="48" spans="2:14" ht="13.5" thickBot="1">
      <c r="B48" s="1"/>
      <c r="C48" s="17" t="s">
        <v>16</v>
      </c>
      <c r="D48" s="18"/>
      <c r="E48" s="19"/>
      <c r="F48" s="19"/>
      <c r="G48" s="13"/>
      <c r="H48" s="13"/>
      <c r="I48" s="8" t="s">
        <v>17</v>
      </c>
      <c r="J48" s="11"/>
      <c r="K48" s="23"/>
      <c r="L48" s="49"/>
      <c r="M48" s="48"/>
      <c r="N48" s="1"/>
    </row>
    <row r="49" spans="2:14">
      <c r="B49" s="1"/>
      <c r="C49" s="12"/>
      <c r="D49" s="242" t="s">
        <v>25</v>
      </c>
      <c r="E49" s="242"/>
      <c r="F49" s="242"/>
      <c r="G49" s="242"/>
      <c r="H49" s="13"/>
      <c r="I49" s="13"/>
      <c r="J49" s="1"/>
      <c r="K49" s="1"/>
      <c r="L49" s="24">
        <v>0</v>
      </c>
      <c r="M49" s="49"/>
      <c r="N49" s="1"/>
    </row>
    <row r="50" spans="2:14">
      <c r="B50" s="1"/>
      <c r="C50" s="15"/>
      <c r="D50" s="242"/>
      <c r="E50" s="242"/>
      <c r="F50" s="242"/>
      <c r="G50" s="242"/>
      <c r="H50" s="14"/>
      <c r="I50" s="14"/>
      <c r="J50" s="1"/>
      <c r="K50" s="1"/>
      <c r="L50" s="2" t="s">
        <v>13</v>
      </c>
      <c r="M50" s="63">
        <f>IF(M46&lt;&gt;"",SUM(M46:M49),"")</f>
        <v>600</v>
      </c>
      <c r="N50" s="1"/>
    </row>
    <row r="51" spans="2:14">
      <c r="B51" s="1"/>
      <c r="C51" s="15"/>
      <c r="D51" s="242"/>
      <c r="E51" s="242"/>
      <c r="F51" s="242"/>
      <c r="G51" s="242"/>
      <c r="H51" s="14"/>
      <c r="I51" s="14"/>
      <c r="J51" s="1"/>
      <c r="K51" s="1"/>
      <c r="L51" s="1"/>
      <c r="M51" s="1"/>
      <c r="N51" s="1"/>
    </row>
    <row r="52" spans="2:14" ht="12.75" customHeight="1">
      <c r="B52" s="1"/>
      <c r="C52" s="15"/>
      <c r="D52" s="242"/>
      <c r="E52" s="242"/>
      <c r="F52" s="242"/>
      <c r="G52" s="242"/>
      <c r="H52" s="1"/>
      <c r="I52" s="1"/>
      <c r="J52" s="224"/>
      <c r="K52" s="225"/>
      <c r="L52" s="225"/>
      <c r="M52" s="226"/>
      <c r="N52" s="1"/>
    </row>
    <row r="53" spans="2:14">
      <c r="B53" s="1"/>
      <c r="C53" s="15"/>
      <c r="D53" s="242"/>
      <c r="E53" s="242"/>
      <c r="F53" s="242"/>
      <c r="G53" s="242"/>
      <c r="H53" s="1"/>
      <c r="I53" s="1"/>
      <c r="J53" s="227"/>
      <c r="K53" s="228"/>
      <c r="L53" s="228"/>
      <c r="M53" s="229"/>
      <c r="N53" s="1"/>
    </row>
    <row r="54" spans="2:14">
      <c r="B54" s="1"/>
      <c r="C54" s="1"/>
      <c r="D54" s="242"/>
      <c r="E54" s="242"/>
      <c r="F54" s="242"/>
      <c r="G54" s="242"/>
      <c r="H54" s="1"/>
      <c r="I54" s="1"/>
      <c r="J54" s="230"/>
      <c r="K54" s="231"/>
      <c r="L54" s="231"/>
      <c r="M54" s="232"/>
      <c r="N54" s="1"/>
    </row>
    <row r="55" spans="2:14" ht="33.75" customHeight="1">
      <c r="B55" s="1"/>
      <c r="C55" s="1"/>
      <c r="D55" s="1"/>
      <c r="E55" s="1"/>
      <c r="F55" s="1"/>
      <c r="G55" s="1"/>
      <c r="H55" s="1"/>
      <c r="I55" s="1"/>
      <c r="J55" s="1"/>
      <c r="K55" s="1"/>
      <c r="L55" s="1"/>
      <c r="M55" s="1"/>
      <c r="N55" s="1"/>
    </row>
    <row r="56" spans="2:14" ht="12.75" customHeight="1">
      <c r="B56" s="1"/>
      <c r="C56" s="233" t="s">
        <v>27</v>
      </c>
      <c r="D56" s="234"/>
      <c r="E56" s="234"/>
      <c r="F56" s="234"/>
      <c r="G56" s="234"/>
      <c r="H56" s="234"/>
      <c r="I56" s="234"/>
      <c r="J56" s="234"/>
      <c r="K56" s="234"/>
      <c r="L56" s="234"/>
      <c r="M56" s="235"/>
      <c r="N56" s="1"/>
    </row>
    <row r="57" spans="2:14">
      <c r="B57" s="1"/>
      <c r="C57" s="236"/>
      <c r="D57" s="237"/>
      <c r="E57" s="237"/>
      <c r="F57" s="237"/>
      <c r="G57" s="237"/>
      <c r="H57" s="237"/>
      <c r="I57" s="237"/>
      <c r="J57" s="237"/>
      <c r="K57" s="237"/>
      <c r="L57" s="237"/>
      <c r="M57" s="238"/>
      <c r="N57" s="1"/>
    </row>
    <row r="58" spans="2:14">
      <c r="B58" s="1"/>
      <c r="C58" s="236"/>
      <c r="D58" s="237"/>
      <c r="E58" s="237"/>
      <c r="F58" s="237"/>
      <c r="G58" s="237"/>
      <c r="H58" s="237"/>
      <c r="I58" s="237"/>
      <c r="J58" s="237"/>
      <c r="K58" s="237"/>
      <c r="L58" s="237"/>
      <c r="M58" s="238"/>
      <c r="N58" s="1"/>
    </row>
    <row r="59" spans="2:14" ht="63" customHeight="1">
      <c r="B59" s="1"/>
      <c r="C59" s="239"/>
      <c r="D59" s="240"/>
      <c r="E59" s="240"/>
      <c r="F59" s="240"/>
      <c r="G59" s="240"/>
      <c r="H59" s="240"/>
      <c r="I59" s="240"/>
      <c r="J59" s="240"/>
      <c r="K59" s="240"/>
      <c r="L59" s="240"/>
      <c r="M59" s="241"/>
      <c r="N59" s="1"/>
    </row>
    <row r="60" spans="2:14" ht="13.5" thickBot="1">
      <c r="B60" s="1"/>
      <c r="C60" s="1"/>
      <c r="D60" s="1"/>
      <c r="E60" s="1"/>
      <c r="F60" s="1"/>
      <c r="G60" s="1"/>
      <c r="H60" s="1"/>
      <c r="I60" s="1"/>
      <c r="J60" s="1"/>
      <c r="K60" s="1"/>
      <c r="L60" s="1"/>
      <c r="M60" s="1"/>
      <c r="N60" s="1"/>
    </row>
    <row r="61" spans="2:14" ht="13.5" thickTop="1">
      <c r="B61" s="1"/>
      <c r="C61" s="243" t="s">
        <v>28</v>
      </c>
      <c r="D61" s="243"/>
      <c r="E61" s="243"/>
      <c r="F61" s="243"/>
      <c r="G61" s="243"/>
      <c r="H61" s="243"/>
      <c r="I61" s="243"/>
      <c r="J61" s="243"/>
      <c r="K61" s="243"/>
      <c r="L61" s="243"/>
      <c r="M61" s="243"/>
      <c r="N61" s="1"/>
    </row>
    <row r="62" spans="2:14" ht="12.75" customHeight="1">
      <c r="B62" s="1"/>
      <c r="C62" s="1"/>
      <c r="D62" s="222"/>
      <c r="E62" s="222"/>
      <c r="F62" s="222"/>
      <c r="G62" s="222"/>
      <c r="H62" s="222"/>
      <c r="I62" s="222"/>
      <c r="J62" s="222"/>
      <c r="K62" s="222"/>
      <c r="L62" s="222"/>
      <c r="M62" s="1"/>
      <c r="N62" s="1"/>
    </row>
    <row r="63" spans="2:14">
      <c r="B63" s="1"/>
      <c r="C63" s="1"/>
      <c r="D63" s="223"/>
      <c r="E63" s="223"/>
      <c r="F63" s="223"/>
      <c r="G63" s="223"/>
      <c r="H63" s="223"/>
      <c r="I63" s="223"/>
      <c r="J63" s="223"/>
      <c r="K63" s="223"/>
      <c r="L63" s="223"/>
      <c r="M63" s="1"/>
      <c r="N63" s="1"/>
    </row>
    <row r="64" spans="2:14">
      <c r="B64" s="1"/>
      <c r="C64" s="1"/>
      <c r="D64" s="223"/>
      <c r="E64" s="223"/>
      <c r="F64" s="223"/>
      <c r="G64" s="223"/>
      <c r="H64" s="223"/>
      <c r="I64" s="223"/>
      <c r="J64" s="223"/>
      <c r="K64" s="223"/>
      <c r="L64" s="223"/>
      <c r="M64" s="1"/>
      <c r="N64" s="1"/>
    </row>
  </sheetData>
  <sheetProtection selectLockedCells="1"/>
  <mergeCells count="24">
    <mergeCell ref="D30:K30"/>
    <mergeCell ref="H3:K6"/>
    <mergeCell ref="D14:H14"/>
    <mergeCell ref="D16:H16"/>
    <mergeCell ref="D18:K18"/>
    <mergeCell ref="D20:K20"/>
    <mergeCell ref="D21:K21"/>
    <mergeCell ref="D22:K22"/>
    <mergeCell ref="D24:K24"/>
    <mergeCell ref="D25:K25"/>
    <mergeCell ref="D28:K28"/>
    <mergeCell ref="D29:K29"/>
    <mergeCell ref="D62:L64"/>
    <mergeCell ref="D33:K33"/>
    <mergeCell ref="D36:K36"/>
    <mergeCell ref="D37:K37"/>
    <mergeCell ref="D39:K39"/>
    <mergeCell ref="D41:K41"/>
    <mergeCell ref="D43:K43"/>
    <mergeCell ref="D45:K45"/>
    <mergeCell ref="D49:G54"/>
    <mergeCell ref="J52:M54"/>
    <mergeCell ref="C56:M59"/>
    <mergeCell ref="C61:M61"/>
  </mergeCells>
  <dataValidations count="9">
    <dataValidation type="whole" errorStyle="warning" allowBlank="1" showErrorMessage="1" errorTitle="Quantity" error="You must enter a number in this cell." promptTitle="Quantity" sqref="C19:C45" xr:uid="{5CE7F8BE-25C3-4104-A96A-8A63C5A641AB}">
      <formula1>0</formula1>
      <formula2>1000000000</formula2>
    </dataValidation>
    <dataValidation type="decimal" allowBlank="1" showErrorMessage="1" errorTitle="Unit Price" error="You must enter a number into this cell." promptTitle="Unit Price" sqref="L19:L45" xr:uid="{D908C9E3-C8EC-4D37-A920-3545B27626B3}">
      <formula1>0</formula1>
      <formula2>1000000000</formula2>
    </dataValidation>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6" xr:uid="{5AF90383-FB01-4408-8B52-6B790D794060}"/>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2" xr:uid="{577EA19D-1D0C-4E1D-BD01-38D6335F7E3E}"/>
    <dataValidation errorStyle="warning" allowBlank="1" showInputMessage="1" errorTitle="State" promptTitle="State" prompt="Enter the state abbreviation into this cell." sqref="F15" xr:uid="{2BFEDB35-21C2-4F01-A0AF-18B2EF0D4BC9}"/>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2" xr:uid="{A33AD14A-2935-4ED4-898C-18AB16A58584}"/>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7" xr:uid="{9078F8F2-851E-401C-A0E2-1E69969FB24E}"/>
    <dataValidation allowBlank="1" showInputMessage="1" showErrorMessage="1" promptTitle="Tax Rate" prompt="To add a tax here, or to change the percentage associated with this tax, enter the tax rate in the cell to the left.  The tax rate will then be automatically calculated." sqref="L49 K48" xr:uid="{9AC2809D-874B-496F-803C-A02543C72825}"/>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B149A4A5-FE05-4CB7-B206-6EEE1A5BC8C8}"/>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9546A-8774-47AC-B8FE-9B6E375EF5F9}">
  <sheetPr>
    <pageSetUpPr fitToPage="1"/>
  </sheetPr>
  <dimension ref="A2:N64"/>
  <sheetViews>
    <sheetView topLeftCell="A10" zoomScale="85" zoomScaleNormal="85" workbookViewId="0">
      <selection activeCell="M13" sqref="M13"/>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91</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211" t="s">
        <v>36</v>
      </c>
      <c r="E13" s="211"/>
      <c r="F13" s="211"/>
      <c r="G13" s="211"/>
      <c r="H13" s="211"/>
      <c r="I13" s="21"/>
      <c r="J13" s="1"/>
      <c r="K13" s="1"/>
      <c r="L13" s="5" t="s">
        <v>1</v>
      </c>
      <c r="M13" s="50">
        <v>46247</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212" t="s">
        <v>8</v>
      </c>
      <c r="D18" s="254" t="s">
        <v>9</v>
      </c>
      <c r="E18" s="255"/>
      <c r="F18" s="255"/>
      <c r="G18" s="255"/>
      <c r="H18" s="255"/>
      <c r="I18" s="255"/>
      <c r="J18" s="255"/>
      <c r="K18" s="256"/>
      <c r="L18" s="212" t="s">
        <v>10</v>
      </c>
      <c r="M18" s="10" t="s">
        <v>11</v>
      </c>
      <c r="N18" s="1"/>
    </row>
    <row r="19" spans="2:14">
      <c r="B19" s="1"/>
      <c r="C19" s="37">
        <v>2</v>
      </c>
      <c r="D19" s="61" t="s">
        <v>95</v>
      </c>
      <c r="E19" s="210"/>
      <c r="F19" s="210"/>
      <c r="G19" s="210"/>
      <c r="H19" s="210"/>
      <c r="I19" s="210"/>
      <c r="J19" s="210"/>
      <c r="K19" s="209"/>
      <c r="L19" s="41">
        <v>150</v>
      </c>
      <c r="M19" s="221">
        <f t="shared" ref="M19:M43" si="0">IF(L19&lt;&gt;"",ROUND(L19*C19,2),"")</f>
        <v>300</v>
      </c>
      <c r="N19" s="1"/>
    </row>
    <row r="20" spans="2:14">
      <c r="B20" s="1"/>
      <c r="C20" s="37">
        <v>3</v>
      </c>
      <c r="D20" s="263" t="s">
        <v>86</v>
      </c>
      <c r="E20" s="264"/>
      <c r="F20" s="264"/>
      <c r="G20" s="264"/>
      <c r="H20" s="264"/>
      <c r="I20" s="264"/>
      <c r="J20" s="264"/>
      <c r="K20" s="265"/>
      <c r="L20" s="41">
        <v>150</v>
      </c>
      <c r="M20" s="42">
        <f t="shared" si="0"/>
        <v>450</v>
      </c>
      <c r="N20" s="1"/>
    </row>
    <row r="21" spans="2:14">
      <c r="B21" s="1"/>
      <c r="C21" s="37">
        <v>2</v>
      </c>
      <c r="D21" s="263" t="s">
        <v>96</v>
      </c>
      <c r="E21" s="264"/>
      <c r="F21" s="264"/>
      <c r="G21" s="264"/>
      <c r="H21" s="264"/>
      <c r="I21" s="264"/>
      <c r="J21" s="264"/>
      <c r="K21" s="265"/>
      <c r="L21" s="41">
        <v>240</v>
      </c>
      <c r="M21" s="221">
        <f t="shared" si="0"/>
        <v>480</v>
      </c>
      <c r="N21" s="1"/>
    </row>
    <row r="22" spans="2:14">
      <c r="B22" s="1"/>
      <c r="C22" s="37"/>
      <c r="D22" s="244"/>
      <c r="E22" s="245"/>
      <c r="F22" s="245"/>
      <c r="G22" s="245"/>
      <c r="H22" s="245"/>
      <c r="I22" s="245"/>
      <c r="J22" s="245"/>
      <c r="K22" s="246"/>
      <c r="L22" s="41"/>
      <c r="M22" s="42" t="str">
        <f t="shared" si="0"/>
        <v/>
      </c>
      <c r="N22" s="1"/>
    </row>
    <row r="23" spans="2:14">
      <c r="B23" s="1"/>
      <c r="C23" s="37"/>
      <c r="D23" s="207"/>
      <c r="E23" s="208"/>
      <c r="F23" s="208"/>
      <c r="G23" s="208"/>
      <c r="H23" s="208"/>
      <c r="I23" s="208"/>
      <c r="J23" s="208"/>
      <c r="K23" s="209"/>
      <c r="L23" s="41"/>
      <c r="M23" s="42"/>
      <c r="N23" s="1"/>
    </row>
    <row r="24" spans="2:14">
      <c r="B24" s="1"/>
      <c r="C24" s="37"/>
      <c r="D24" s="244"/>
      <c r="E24" s="245"/>
      <c r="F24" s="245"/>
      <c r="G24" s="245"/>
      <c r="H24" s="245"/>
      <c r="I24" s="245"/>
      <c r="J24" s="245"/>
      <c r="K24" s="246"/>
      <c r="L24" s="41"/>
      <c r="M24" s="42" t="str">
        <f t="shared" si="0"/>
        <v/>
      </c>
      <c r="N24" s="1"/>
    </row>
    <row r="25" spans="2:14">
      <c r="B25" s="1"/>
      <c r="C25" s="37"/>
      <c r="D25" s="244"/>
      <c r="E25" s="245"/>
      <c r="F25" s="245"/>
      <c r="G25" s="245"/>
      <c r="H25" s="245"/>
      <c r="I25" s="245"/>
      <c r="J25" s="245"/>
      <c r="K25" s="246"/>
      <c r="L25" s="41"/>
      <c r="M25" s="42" t="str">
        <f t="shared" si="0"/>
        <v/>
      </c>
      <c r="N25" s="1"/>
    </row>
    <row r="26" spans="2:14">
      <c r="B26" s="1"/>
      <c r="C26" s="37"/>
      <c r="D26" s="207"/>
      <c r="E26" s="208"/>
      <c r="F26" s="208"/>
      <c r="G26" s="208"/>
      <c r="H26" s="208"/>
      <c r="I26" s="208"/>
      <c r="J26" s="208"/>
      <c r="K26" s="209"/>
      <c r="L26" s="41"/>
      <c r="M26" s="42"/>
      <c r="N26" s="1"/>
    </row>
    <row r="27" spans="2:14">
      <c r="B27" s="1"/>
      <c r="C27" s="37"/>
      <c r="D27" s="207"/>
      <c r="E27" s="208"/>
      <c r="F27" s="208"/>
      <c r="G27" s="208"/>
      <c r="H27" s="208"/>
      <c r="I27" s="208"/>
      <c r="J27" s="208"/>
      <c r="K27" s="209"/>
      <c r="L27" s="41"/>
      <c r="M27" s="42" t="str">
        <f t="shared" si="0"/>
        <v/>
      </c>
      <c r="N27" s="1"/>
    </row>
    <row r="28" spans="2:14">
      <c r="B28" s="1"/>
      <c r="C28" s="37"/>
      <c r="D28" s="244"/>
      <c r="E28" s="245"/>
      <c r="F28" s="245"/>
      <c r="G28" s="245"/>
      <c r="H28" s="245"/>
      <c r="I28" s="245"/>
      <c r="J28" s="245"/>
      <c r="K28" s="246"/>
      <c r="L28" s="41"/>
      <c r="M28" s="42"/>
      <c r="N28" s="1"/>
    </row>
    <row r="29" spans="2:14">
      <c r="B29" s="1"/>
      <c r="C29" s="37"/>
      <c r="D29" s="244"/>
      <c r="E29" s="245"/>
      <c r="F29" s="245"/>
      <c r="G29" s="245"/>
      <c r="H29" s="245"/>
      <c r="I29" s="245"/>
      <c r="J29" s="245"/>
      <c r="K29" s="246"/>
      <c r="L29" s="41"/>
      <c r="M29" s="42" t="str">
        <f t="shared" si="0"/>
        <v/>
      </c>
      <c r="N29" s="1"/>
    </row>
    <row r="30" spans="2:14">
      <c r="B30" s="1"/>
      <c r="C30" s="37"/>
      <c r="D30" s="244"/>
      <c r="E30" s="245"/>
      <c r="F30" s="245"/>
      <c r="G30" s="245"/>
      <c r="H30" s="245"/>
      <c r="I30" s="245"/>
      <c r="J30" s="245"/>
      <c r="K30" s="246"/>
      <c r="L30" s="41"/>
      <c r="M30" s="42" t="str">
        <f t="shared" si="0"/>
        <v/>
      </c>
      <c r="N30" s="1"/>
    </row>
    <row r="31" spans="2:14">
      <c r="B31" s="1"/>
      <c r="C31" s="37"/>
      <c r="D31" s="207"/>
      <c r="E31" s="208"/>
      <c r="F31" s="208"/>
      <c r="G31" s="208"/>
      <c r="H31" s="208"/>
      <c r="I31" s="208"/>
      <c r="J31" s="208"/>
      <c r="K31" s="209"/>
      <c r="L31" s="41"/>
      <c r="M31" s="42"/>
      <c r="N31" s="1"/>
    </row>
    <row r="32" spans="2:14">
      <c r="B32" s="1"/>
      <c r="C32" s="37"/>
      <c r="D32" s="207"/>
      <c r="E32" s="208"/>
      <c r="F32" s="208"/>
      <c r="G32" s="208"/>
      <c r="H32" s="208"/>
      <c r="I32" s="208"/>
      <c r="J32" s="208"/>
      <c r="K32" s="209"/>
      <c r="L32" s="41"/>
      <c r="M32" s="42"/>
      <c r="N32" s="1"/>
    </row>
    <row r="33" spans="2:14">
      <c r="B33" s="1"/>
      <c r="C33" s="37"/>
      <c r="D33" s="244"/>
      <c r="E33" s="245"/>
      <c r="F33" s="245"/>
      <c r="G33" s="245"/>
      <c r="H33" s="245"/>
      <c r="I33" s="245"/>
      <c r="J33" s="245"/>
      <c r="K33" s="246"/>
      <c r="L33" s="41"/>
      <c r="M33" s="42" t="str">
        <f t="shared" si="0"/>
        <v/>
      </c>
      <c r="N33" s="1"/>
    </row>
    <row r="34" spans="2:14">
      <c r="B34" s="1"/>
      <c r="C34" s="37"/>
      <c r="D34" s="207"/>
      <c r="E34" s="208"/>
      <c r="F34" s="208"/>
      <c r="G34" s="208"/>
      <c r="H34" s="208"/>
      <c r="I34" s="208"/>
      <c r="J34" s="208"/>
      <c r="K34" s="209"/>
      <c r="L34" s="41"/>
      <c r="M34" s="42"/>
      <c r="N34" s="1"/>
    </row>
    <row r="35" spans="2:14">
      <c r="B35" s="1"/>
      <c r="C35" s="37"/>
      <c r="D35" s="207"/>
      <c r="E35" s="208"/>
      <c r="F35" s="208"/>
      <c r="G35" s="208"/>
      <c r="H35" s="208"/>
      <c r="I35" s="208"/>
      <c r="J35" s="208"/>
      <c r="K35" s="209"/>
      <c r="L35" s="41"/>
      <c r="M35" s="42"/>
      <c r="N35" s="1"/>
    </row>
    <row r="36" spans="2:14">
      <c r="B36" s="1"/>
      <c r="C36" s="37"/>
      <c r="D36" s="244"/>
      <c r="E36" s="245"/>
      <c r="F36" s="245"/>
      <c r="G36" s="245"/>
      <c r="H36" s="245"/>
      <c r="I36" s="245"/>
      <c r="J36" s="245"/>
      <c r="K36" s="246"/>
      <c r="L36" s="41"/>
      <c r="M36" s="42" t="str">
        <f t="shared" si="0"/>
        <v/>
      </c>
      <c r="N36" s="1"/>
    </row>
    <row r="37" spans="2:14">
      <c r="B37" s="1"/>
      <c r="C37" s="37"/>
      <c r="D37" s="244"/>
      <c r="E37" s="245"/>
      <c r="F37" s="245"/>
      <c r="G37" s="245"/>
      <c r="H37" s="245"/>
      <c r="I37" s="245"/>
      <c r="J37" s="245"/>
      <c r="K37" s="246"/>
      <c r="L37" s="41"/>
      <c r="M37" s="42" t="str">
        <f t="shared" si="0"/>
        <v/>
      </c>
      <c r="N37" s="1"/>
    </row>
    <row r="38" spans="2:14">
      <c r="B38" s="1"/>
      <c r="C38" s="37"/>
      <c r="D38" s="207"/>
      <c r="E38" s="208"/>
      <c r="F38" s="208"/>
      <c r="G38" s="208"/>
      <c r="H38" s="208"/>
      <c r="I38" s="208"/>
      <c r="J38" s="208"/>
      <c r="K38" s="209"/>
      <c r="L38" s="41"/>
      <c r="M38" s="42"/>
      <c r="N38" s="1"/>
    </row>
    <row r="39" spans="2:14">
      <c r="B39" s="1"/>
      <c r="C39" s="37"/>
      <c r="D39" s="244"/>
      <c r="E39" s="245"/>
      <c r="F39" s="245"/>
      <c r="G39" s="245"/>
      <c r="H39" s="245"/>
      <c r="I39" s="245"/>
      <c r="J39" s="245"/>
      <c r="K39" s="246"/>
      <c r="L39" s="41"/>
      <c r="M39" s="42" t="str">
        <f t="shared" si="0"/>
        <v/>
      </c>
      <c r="N39" s="1"/>
    </row>
    <row r="40" spans="2:14">
      <c r="B40" s="1"/>
      <c r="C40" s="37"/>
      <c r="D40" s="207"/>
      <c r="E40" s="208"/>
      <c r="F40" s="208"/>
      <c r="G40" s="208"/>
      <c r="H40" s="208"/>
      <c r="I40" s="208"/>
      <c r="J40" s="208"/>
      <c r="K40" s="209"/>
      <c r="L40" s="41"/>
      <c r="M40" s="42"/>
      <c r="N40" s="1"/>
    </row>
    <row r="41" spans="2:14">
      <c r="B41" s="1"/>
      <c r="C41" s="37"/>
      <c r="D41" s="244"/>
      <c r="E41" s="245"/>
      <c r="F41" s="245"/>
      <c r="G41" s="245"/>
      <c r="H41" s="245"/>
      <c r="I41" s="245"/>
      <c r="J41" s="245"/>
      <c r="K41" s="246"/>
      <c r="L41" s="41"/>
      <c r="M41" s="42" t="str">
        <f>IF(L41&lt;&gt;"",ROUND(L41*C41,2),"")</f>
        <v/>
      </c>
      <c r="N41" s="1"/>
    </row>
    <row r="42" spans="2:14">
      <c r="B42" s="1"/>
      <c r="C42" s="37"/>
      <c r="D42" s="207"/>
      <c r="E42" s="208"/>
      <c r="F42" s="208"/>
      <c r="G42" s="208"/>
      <c r="H42" s="208"/>
      <c r="I42" s="208"/>
      <c r="J42" s="208"/>
      <c r="K42" s="209"/>
      <c r="L42" s="41"/>
      <c r="M42" s="42"/>
      <c r="N42" s="1"/>
    </row>
    <row r="43" spans="2:14">
      <c r="B43" s="1"/>
      <c r="C43" s="37"/>
      <c r="D43" s="244"/>
      <c r="E43" s="250"/>
      <c r="F43" s="250"/>
      <c r="G43" s="250"/>
      <c r="H43" s="250"/>
      <c r="I43" s="250"/>
      <c r="J43" s="250"/>
      <c r="K43" s="246"/>
      <c r="L43" s="41"/>
      <c r="M43" s="42" t="str">
        <f t="shared" si="0"/>
        <v/>
      </c>
      <c r="N43" s="1"/>
    </row>
    <row r="44" spans="2:14">
      <c r="B44" s="1"/>
      <c r="C44" s="37"/>
      <c r="D44" s="207"/>
      <c r="E44" s="210"/>
      <c r="F44" s="210"/>
      <c r="G44" s="210"/>
      <c r="H44" s="210"/>
      <c r="I44" s="210"/>
      <c r="J44" s="210"/>
      <c r="K44" s="209"/>
      <c r="L44" s="41"/>
      <c r="M44" s="42"/>
      <c r="N44" s="1"/>
    </row>
    <row r="45" spans="2:14">
      <c r="B45" s="1"/>
      <c r="C45" s="38"/>
      <c r="D45" s="247"/>
      <c r="E45" s="248"/>
      <c r="F45" s="248"/>
      <c r="G45" s="248"/>
      <c r="H45" s="248"/>
      <c r="I45" s="248"/>
      <c r="J45" s="248"/>
      <c r="K45" s="249"/>
      <c r="L45" s="44"/>
      <c r="M45" s="46" t="str">
        <f>IF(L45&lt;&gt;"",ROUND(L45*C45,2),"")</f>
        <v/>
      </c>
      <c r="N45" s="1"/>
    </row>
    <row r="46" spans="2:14">
      <c r="B46" s="1"/>
      <c r="C46" s="1"/>
      <c r="D46" s="1"/>
      <c r="E46" s="1"/>
      <c r="F46" s="1"/>
      <c r="G46" s="1"/>
      <c r="H46" s="1"/>
      <c r="I46" s="1"/>
      <c r="J46" s="1"/>
      <c r="K46" s="1"/>
      <c r="L46" s="11" t="s">
        <v>12</v>
      </c>
      <c r="M46" s="62">
        <f>IF(SUM(M19:M45)&gt;0,SUM(M19:M45),"")</f>
        <v>1230</v>
      </c>
      <c r="N46" s="1"/>
    </row>
    <row r="47" spans="2:14" ht="13.5" thickBot="1">
      <c r="B47" s="1"/>
      <c r="C47" s="1"/>
      <c r="D47" s="1"/>
      <c r="E47" s="1"/>
      <c r="F47" s="1"/>
      <c r="G47" s="1"/>
      <c r="H47" s="1"/>
      <c r="I47" s="1"/>
      <c r="J47" s="1"/>
      <c r="K47" s="1"/>
      <c r="L47" s="11"/>
      <c r="M47" s="47"/>
      <c r="N47" s="1"/>
    </row>
    <row r="48" spans="2:14" ht="13.5" thickBot="1">
      <c r="B48" s="1"/>
      <c r="C48" s="17" t="s">
        <v>16</v>
      </c>
      <c r="D48" s="18"/>
      <c r="E48" s="19"/>
      <c r="F48" s="19"/>
      <c r="G48" s="13"/>
      <c r="H48" s="13"/>
      <c r="I48" s="8" t="s">
        <v>17</v>
      </c>
      <c r="J48" s="11"/>
      <c r="K48" s="23"/>
      <c r="L48" s="49"/>
      <c r="M48" s="48"/>
      <c r="N48" s="1"/>
    </row>
    <row r="49" spans="2:14">
      <c r="B49" s="1"/>
      <c r="C49" s="12"/>
      <c r="D49" s="242" t="s">
        <v>25</v>
      </c>
      <c r="E49" s="242"/>
      <c r="F49" s="242"/>
      <c r="G49" s="242"/>
      <c r="H49" s="13"/>
      <c r="I49" s="13"/>
      <c r="J49" s="1"/>
      <c r="K49" s="1"/>
      <c r="L49" s="24">
        <v>0</v>
      </c>
      <c r="M49" s="49"/>
      <c r="N49" s="1"/>
    </row>
    <row r="50" spans="2:14">
      <c r="B50" s="1"/>
      <c r="C50" s="15"/>
      <c r="D50" s="242"/>
      <c r="E50" s="242"/>
      <c r="F50" s="242"/>
      <c r="G50" s="242"/>
      <c r="H50" s="14"/>
      <c r="I50" s="14"/>
      <c r="J50" s="1"/>
      <c r="K50" s="1"/>
      <c r="L50" s="2" t="s">
        <v>13</v>
      </c>
      <c r="M50" s="63">
        <f>IF(M46&lt;&gt;"",SUM(M46:M49),"")</f>
        <v>1230</v>
      </c>
      <c r="N50" s="1"/>
    </row>
    <row r="51" spans="2:14">
      <c r="B51" s="1"/>
      <c r="C51" s="15"/>
      <c r="D51" s="242"/>
      <c r="E51" s="242"/>
      <c r="F51" s="242"/>
      <c r="G51" s="242"/>
      <c r="H51" s="14"/>
      <c r="I51" s="14"/>
      <c r="J51" s="1"/>
      <c r="K51" s="1"/>
      <c r="L51" s="1"/>
      <c r="M51" s="1"/>
      <c r="N51" s="1"/>
    </row>
    <row r="52" spans="2:14" ht="12.75" customHeight="1">
      <c r="B52" s="1"/>
      <c r="C52" s="15"/>
      <c r="D52" s="242"/>
      <c r="E52" s="242"/>
      <c r="F52" s="242"/>
      <c r="G52" s="242"/>
      <c r="H52" s="1"/>
      <c r="I52" s="1"/>
      <c r="J52" s="224"/>
      <c r="K52" s="225"/>
      <c r="L52" s="225"/>
      <c r="M52" s="226"/>
      <c r="N52" s="1"/>
    </row>
    <row r="53" spans="2:14">
      <c r="B53" s="1"/>
      <c r="C53" s="15"/>
      <c r="D53" s="242"/>
      <c r="E53" s="242"/>
      <c r="F53" s="242"/>
      <c r="G53" s="242"/>
      <c r="H53" s="1"/>
      <c r="I53" s="1"/>
      <c r="J53" s="227"/>
      <c r="K53" s="228"/>
      <c r="L53" s="228"/>
      <c r="M53" s="229"/>
      <c r="N53" s="1"/>
    </row>
    <row r="54" spans="2:14">
      <c r="B54" s="1"/>
      <c r="C54" s="1"/>
      <c r="D54" s="242"/>
      <c r="E54" s="242"/>
      <c r="F54" s="242"/>
      <c r="G54" s="242"/>
      <c r="H54" s="1"/>
      <c r="I54" s="1"/>
      <c r="J54" s="230"/>
      <c r="K54" s="231"/>
      <c r="L54" s="231"/>
      <c r="M54" s="232"/>
      <c r="N54" s="1"/>
    </row>
    <row r="55" spans="2:14" ht="33.75" customHeight="1">
      <c r="B55" s="1"/>
      <c r="C55" s="1"/>
      <c r="D55" s="1"/>
      <c r="E55" s="1"/>
      <c r="F55" s="1"/>
      <c r="G55" s="1"/>
      <c r="H55" s="1"/>
      <c r="I55" s="1"/>
      <c r="J55" s="1"/>
      <c r="K55" s="1"/>
      <c r="L55" s="1"/>
      <c r="M55" s="1"/>
      <c r="N55" s="1"/>
    </row>
    <row r="56" spans="2:14" ht="12.75" customHeight="1">
      <c r="B56" s="1"/>
      <c r="C56" s="233" t="s">
        <v>27</v>
      </c>
      <c r="D56" s="234"/>
      <c r="E56" s="234"/>
      <c r="F56" s="234"/>
      <c r="G56" s="234"/>
      <c r="H56" s="234"/>
      <c r="I56" s="234"/>
      <c r="J56" s="234"/>
      <c r="K56" s="234"/>
      <c r="L56" s="234"/>
      <c r="M56" s="235"/>
      <c r="N56" s="1"/>
    </row>
    <row r="57" spans="2:14">
      <c r="B57" s="1"/>
      <c r="C57" s="236"/>
      <c r="D57" s="237"/>
      <c r="E57" s="237"/>
      <c r="F57" s="237"/>
      <c r="G57" s="237"/>
      <c r="H57" s="237"/>
      <c r="I57" s="237"/>
      <c r="J57" s="237"/>
      <c r="K57" s="237"/>
      <c r="L57" s="237"/>
      <c r="M57" s="238"/>
      <c r="N57" s="1"/>
    </row>
    <row r="58" spans="2:14">
      <c r="B58" s="1"/>
      <c r="C58" s="236"/>
      <c r="D58" s="237"/>
      <c r="E58" s="237"/>
      <c r="F58" s="237"/>
      <c r="G58" s="237"/>
      <c r="H58" s="237"/>
      <c r="I58" s="237"/>
      <c r="J58" s="237"/>
      <c r="K58" s="237"/>
      <c r="L58" s="237"/>
      <c r="M58" s="238"/>
      <c r="N58" s="1"/>
    </row>
    <row r="59" spans="2:14" ht="63" customHeight="1">
      <c r="B59" s="1"/>
      <c r="C59" s="239"/>
      <c r="D59" s="240"/>
      <c r="E59" s="240"/>
      <c r="F59" s="240"/>
      <c r="G59" s="240"/>
      <c r="H59" s="240"/>
      <c r="I59" s="240"/>
      <c r="J59" s="240"/>
      <c r="K59" s="240"/>
      <c r="L59" s="240"/>
      <c r="M59" s="241"/>
      <c r="N59" s="1"/>
    </row>
    <row r="60" spans="2:14" ht="13.5" thickBot="1">
      <c r="B60" s="1"/>
      <c r="C60" s="1"/>
      <c r="D60" s="1"/>
      <c r="E60" s="1"/>
      <c r="F60" s="1"/>
      <c r="G60" s="1"/>
      <c r="H60" s="1"/>
      <c r="I60" s="1"/>
      <c r="J60" s="1"/>
      <c r="K60" s="1"/>
      <c r="L60" s="1"/>
      <c r="M60" s="1"/>
      <c r="N60" s="1"/>
    </row>
    <row r="61" spans="2:14" ht="13.5" thickTop="1">
      <c r="B61" s="1"/>
      <c r="C61" s="243" t="s">
        <v>28</v>
      </c>
      <c r="D61" s="243"/>
      <c r="E61" s="243"/>
      <c r="F61" s="243"/>
      <c r="G61" s="243"/>
      <c r="H61" s="243"/>
      <c r="I61" s="243"/>
      <c r="J61" s="243"/>
      <c r="K61" s="243"/>
      <c r="L61" s="243"/>
      <c r="M61" s="243"/>
      <c r="N61" s="1"/>
    </row>
    <row r="62" spans="2:14" ht="12.75" customHeight="1">
      <c r="B62" s="1"/>
      <c r="C62" s="1"/>
      <c r="D62" s="222"/>
      <c r="E62" s="222"/>
      <c r="F62" s="222"/>
      <c r="G62" s="222"/>
      <c r="H62" s="222"/>
      <c r="I62" s="222"/>
      <c r="J62" s="222"/>
      <c r="K62" s="222"/>
      <c r="L62" s="222"/>
      <c r="M62" s="1"/>
      <c r="N62" s="1"/>
    </row>
    <row r="63" spans="2:14">
      <c r="B63" s="1"/>
      <c r="C63" s="1"/>
      <c r="D63" s="223"/>
      <c r="E63" s="223"/>
      <c r="F63" s="223"/>
      <c r="G63" s="223"/>
      <c r="H63" s="223"/>
      <c r="I63" s="223"/>
      <c r="J63" s="223"/>
      <c r="K63" s="223"/>
      <c r="L63" s="223"/>
      <c r="M63" s="1"/>
      <c r="N63" s="1"/>
    </row>
    <row r="64" spans="2:14">
      <c r="B64" s="1"/>
      <c r="C64" s="1"/>
      <c r="D64" s="223"/>
      <c r="E64" s="223"/>
      <c r="F64" s="223"/>
      <c r="G64" s="223"/>
      <c r="H64" s="223"/>
      <c r="I64" s="223"/>
      <c r="J64" s="223"/>
      <c r="K64" s="223"/>
      <c r="L64" s="223"/>
      <c r="M64" s="1"/>
      <c r="N64" s="1"/>
    </row>
  </sheetData>
  <sheetProtection selectLockedCells="1"/>
  <mergeCells count="24">
    <mergeCell ref="D30:K30"/>
    <mergeCell ref="H3:K6"/>
    <mergeCell ref="D14:H14"/>
    <mergeCell ref="D16:H16"/>
    <mergeCell ref="D18:K18"/>
    <mergeCell ref="D20:K20"/>
    <mergeCell ref="D21:K21"/>
    <mergeCell ref="D22:K22"/>
    <mergeCell ref="D24:K24"/>
    <mergeCell ref="D25:K25"/>
    <mergeCell ref="D28:K28"/>
    <mergeCell ref="D29:K29"/>
    <mergeCell ref="D62:L64"/>
    <mergeCell ref="D33:K33"/>
    <mergeCell ref="D36:K36"/>
    <mergeCell ref="D37:K37"/>
    <mergeCell ref="D39:K39"/>
    <mergeCell ref="D41:K41"/>
    <mergeCell ref="D43:K43"/>
    <mergeCell ref="D45:K45"/>
    <mergeCell ref="D49:G54"/>
    <mergeCell ref="J52:M54"/>
    <mergeCell ref="C56:M59"/>
    <mergeCell ref="C61:M61"/>
  </mergeCells>
  <dataValidations count="9">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437E3300-2841-4C07-819F-5CF0B8F42B5E}"/>
    <dataValidation allowBlank="1" showInputMessage="1" showErrorMessage="1" promptTitle="Tax Rate" prompt="To add a tax here, or to change the percentage associated with this tax, enter the tax rate in the cell to the left.  The tax rate will then be automatically calculated." sqref="L49 K48" xr:uid="{E7361C48-3060-4228-B9FD-2D85814D652D}"/>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7" xr:uid="{AC425591-4725-421D-9400-03AF1CA2E0DC}"/>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2" xr:uid="{DDB74777-F381-455B-91EB-CECE5C849AEA}"/>
    <dataValidation errorStyle="warning" allowBlank="1" showInputMessage="1" errorTitle="State" promptTitle="State" prompt="Enter the state abbreviation into this cell." sqref="F15" xr:uid="{B9274DD7-56DF-4EFB-A30C-8E5EC0CFD274}"/>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2" xr:uid="{0B953F2A-F9F9-42D3-A4FA-50014C537C68}"/>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6" xr:uid="{8A0F99E6-13F4-401F-8931-9402014E861F}"/>
    <dataValidation type="decimal" allowBlank="1" showErrorMessage="1" errorTitle="Unit Price" error="You must enter a number into this cell." promptTitle="Unit Price" sqref="L19:L45" xr:uid="{9C03A277-DCA3-445E-888C-11152C71273E}">
      <formula1>0</formula1>
      <formula2>1000000000</formula2>
    </dataValidation>
    <dataValidation type="whole" errorStyle="warning" allowBlank="1" showErrorMessage="1" errorTitle="Quantity" error="You must enter a number in this cell." promptTitle="Quantity" sqref="C19:C45" xr:uid="{BD88047D-4DFF-412D-8940-76AC4672551A}">
      <formula1>0</formula1>
      <formula2>1000000000</formula2>
    </dataValidation>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20A0D-726E-48D0-8961-8A1F81121EC5}">
  <sheetPr>
    <pageSetUpPr fitToPage="1"/>
  </sheetPr>
  <dimension ref="A2:N64"/>
  <sheetViews>
    <sheetView zoomScale="85" zoomScaleNormal="85" workbookViewId="0">
      <selection activeCell="M13" sqref="M13"/>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92</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211" t="s">
        <v>36</v>
      </c>
      <c r="E13" s="211"/>
      <c r="F13" s="211"/>
      <c r="G13" s="211"/>
      <c r="H13" s="211"/>
      <c r="I13" s="21"/>
      <c r="J13" s="1"/>
      <c r="K13" s="1"/>
      <c r="L13" s="5" t="s">
        <v>1</v>
      </c>
      <c r="M13" s="50">
        <v>46255</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212" t="s">
        <v>8</v>
      </c>
      <c r="D18" s="254" t="s">
        <v>9</v>
      </c>
      <c r="E18" s="255"/>
      <c r="F18" s="255"/>
      <c r="G18" s="255"/>
      <c r="H18" s="255"/>
      <c r="I18" s="255"/>
      <c r="J18" s="255"/>
      <c r="K18" s="256"/>
      <c r="L18" s="212" t="s">
        <v>10</v>
      </c>
      <c r="M18" s="10" t="s">
        <v>11</v>
      </c>
      <c r="N18" s="1"/>
    </row>
    <row r="19" spans="2:14">
      <c r="B19" s="1"/>
      <c r="C19" s="220">
        <v>2</v>
      </c>
      <c r="D19" s="61" t="s">
        <v>95</v>
      </c>
      <c r="E19" s="210"/>
      <c r="F19" s="210"/>
      <c r="G19" s="210"/>
      <c r="H19" s="210"/>
      <c r="I19" s="210"/>
      <c r="J19" s="210"/>
      <c r="K19" s="209"/>
      <c r="L19" s="219">
        <v>150</v>
      </c>
      <c r="M19" s="221">
        <f t="shared" ref="M19:M45" si="0">IF(L19&lt;&gt;"",ROUND(L19*C19,2),"")</f>
        <v>300</v>
      </c>
      <c r="N19" s="1"/>
    </row>
    <row r="20" spans="2:14">
      <c r="B20" s="1"/>
      <c r="C20" s="220">
        <v>3</v>
      </c>
      <c r="D20" s="263" t="s">
        <v>86</v>
      </c>
      <c r="E20" s="266"/>
      <c r="F20" s="266"/>
      <c r="G20" s="266"/>
      <c r="H20" s="266"/>
      <c r="I20" s="266"/>
      <c r="J20" s="266"/>
      <c r="K20" s="265"/>
      <c r="L20" s="219">
        <v>150</v>
      </c>
      <c r="M20" s="42">
        <f t="shared" si="0"/>
        <v>450</v>
      </c>
      <c r="N20" s="1"/>
    </row>
    <row r="21" spans="2:14">
      <c r="B21" s="1"/>
      <c r="C21" s="220">
        <v>3</v>
      </c>
      <c r="D21" s="263" t="s">
        <v>64</v>
      </c>
      <c r="E21" s="266"/>
      <c r="F21" s="266"/>
      <c r="G21" s="266"/>
      <c r="H21" s="266"/>
      <c r="I21" s="266"/>
      <c r="J21" s="266"/>
      <c r="K21" s="265"/>
      <c r="L21" s="219">
        <v>180</v>
      </c>
      <c r="M21" s="221">
        <f t="shared" si="0"/>
        <v>540</v>
      </c>
      <c r="N21" s="1"/>
    </row>
    <row r="22" spans="2:14">
      <c r="B22" s="1"/>
      <c r="C22" s="220"/>
      <c r="D22" s="244"/>
      <c r="E22" s="250"/>
      <c r="F22" s="250"/>
      <c r="G22" s="250"/>
      <c r="H22" s="250"/>
      <c r="I22" s="250"/>
      <c r="J22" s="250"/>
      <c r="K22" s="246"/>
      <c r="L22" s="219"/>
      <c r="M22" s="221" t="str">
        <f t="shared" si="0"/>
        <v/>
      </c>
      <c r="N22" s="1"/>
    </row>
    <row r="23" spans="2:14">
      <c r="B23" s="1"/>
      <c r="C23" s="37"/>
      <c r="D23" s="207"/>
      <c r="E23" s="208"/>
      <c r="F23" s="208"/>
      <c r="G23" s="208"/>
      <c r="H23" s="208"/>
      <c r="I23" s="208"/>
      <c r="J23" s="208"/>
      <c r="K23" s="209"/>
      <c r="L23" s="41"/>
      <c r="M23" s="221" t="str">
        <f t="shared" si="0"/>
        <v/>
      </c>
      <c r="N23" s="1"/>
    </row>
    <row r="24" spans="2:14">
      <c r="B24" s="1"/>
      <c r="C24" s="37"/>
      <c r="D24" s="244"/>
      <c r="E24" s="245"/>
      <c r="F24" s="245"/>
      <c r="G24" s="245"/>
      <c r="H24" s="245"/>
      <c r="I24" s="245"/>
      <c r="J24" s="245"/>
      <c r="K24" s="246"/>
      <c r="L24" s="41"/>
      <c r="M24" s="221" t="str">
        <f t="shared" si="0"/>
        <v/>
      </c>
      <c r="N24" s="1"/>
    </row>
    <row r="25" spans="2:14">
      <c r="B25" s="1"/>
      <c r="C25" s="37"/>
      <c r="D25" s="244"/>
      <c r="E25" s="245"/>
      <c r="F25" s="245"/>
      <c r="G25" s="245"/>
      <c r="H25" s="245"/>
      <c r="I25" s="245"/>
      <c r="J25" s="245"/>
      <c r="K25" s="246"/>
      <c r="L25" s="41"/>
      <c r="M25" s="221" t="str">
        <f t="shared" si="0"/>
        <v/>
      </c>
      <c r="N25" s="1"/>
    </row>
    <row r="26" spans="2:14">
      <c r="B26" s="1"/>
      <c r="C26" s="37"/>
      <c r="D26" s="207"/>
      <c r="E26" s="208"/>
      <c r="F26" s="208"/>
      <c r="G26" s="208"/>
      <c r="H26" s="208"/>
      <c r="I26" s="208"/>
      <c r="J26" s="208"/>
      <c r="K26" s="209"/>
      <c r="L26" s="41"/>
      <c r="M26" s="221" t="str">
        <f t="shared" si="0"/>
        <v/>
      </c>
      <c r="N26" s="1"/>
    </row>
    <row r="27" spans="2:14">
      <c r="B27" s="1"/>
      <c r="C27" s="37"/>
      <c r="D27" s="207"/>
      <c r="E27" s="208"/>
      <c r="F27" s="208"/>
      <c r="G27" s="208"/>
      <c r="H27" s="208"/>
      <c r="I27" s="208"/>
      <c r="J27" s="208"/>
      <c r="K27" s="209"/>
      <c r="L27" s="41"/>
      <c r="M27" s="221" t="str">
        <f t="shared" si="0"/>
        <v/>
      </c>
      <c r="N27" s="1"/>
    </row>
    <row r="28" spans="2:14">
      <c r="B28" s="1"/>
      <c r="C28" s="37"/>
      <c r="D28" s="244"/>
      <c r="E28" s="245"/>
      <c r="F28" s="245"/>
      <c r="G28" s="245"/>
      <c r="H28" s="245"/>
      <c r="I28" s="245"/>
      <c r="J28" s="245"/>
      <c r="K28" s="246"/>
      <c r="L28" s="41"/>
      <c r="M28" s="221" t="str">
        <f t="shared" si="0"/>
        <v/>
      </c>
      <c r="N28" s="1"/>
    </row>
    <row r="29" spans="2:14">
      <c r="B29" s="1"/>
      <c r="C29" s="37"/>
      <c r="D29" s="244"/>
      <c r="E29" s="245"/>
      <c r="F29" s="245"/>
      <c r="G29" s="245"/>
      <c r="H29" s="245"/>
      <c r="I29" s="245"/>
      <c r="J29" s="245"/>
      <c r="K29" s="246"/>
      <c r="L29" s="41"/>
      <c r="M29" s="221" t="str">
        <f t="shared" si="0"/>
        <v/>
      </c>
      <c r="N29" s="1"/>
    </row>
    <row r="30" spans="2:14">
      <c r="B30" s="1"/>
      <c r="C30" s="37"/>
      <c r="D30" s="244"/>
      <c r="E30" s="245"/>
      <c r="F30" s="245"/>
      <c r="G30" s="245"/>
      <c r="H30" s="245"/>
      <c r="I30" s="245"/>
      <c r="J30" s="245"/>
      <c r="K30" s="246"/>
      <c r="L30" s="41"/>
      <c r="M30" s="221" t="str">
        <f t="shared" si="0"/>
        <v/>
      </c>
      <c r="N30" s="1"/>
    </row>
    <row r="31" spans="2:14">
      <c r="B31" s="1"/>
      <c r="C31" s="37"/>
      <c r="D31" s="207"/>
      <c r="E31" s="208"/>
      <c r="F31" s="208"/>
      <c r="G31" s="208"/>
      <c r="H31" s="208"/>
      <c r="I31" s="208"/>
      <c r="J31" s="208"/>
      <c r="K31" s="209"/>
      <c r="L31" s="41"/>
      <c r="M31" s="221" t="str">
        <f t="shared" si="0"/>
        <v/>
      </c>
      <c r="N31" s="1"/>
    </row>
    <row r="32" spans="2:14">
      <c r="B32" s="1"/>
      <c r="C32" s="37"/>
      <c r="D32" s="207"/>
      <c r="E32" s="208"/>
      <c r="F32" s="208"/>
      <c r="G32" s="208"/>
      <c r="H32" s="208"/>
      <c r="I32" s="208"/>
      <c r="J32" s="208"/>
      <c r="K32" s="209"/>
      <c r="L32" s="41"/>
      <c r="M32" s="221" t="str">
        <f t="shared" si="0"/>
        <v/>
      </c>
      <c r="N32" s="1"/>
    </row>
    <row r="33" spans="2:14">
      <c r="B33" s="1"/>
      <c r="C33" s="37"/>
      <c r="D33" s="244"/>
      <c r="E33" s="245"/>
      <c r="F33" s="245"/>
      <c r="G33" s="245"/>
      <c r="H33" s="245"/>
      <c r="I33" s="245"/>
      <c r="J33" s="245"/>
      <c r="K33" s="246"/>
      <c r="L33" s="41"/>
      <c r="M33" s="221" t="str">
        <f t="shared" si="0"/>
        <v/>
      </c>
      <c r="N33" s="1"/>
    </row>
    <row r="34" spans="2:14">
      <c r="B34" s="1"/>
      <c r="C34" s="37"/>
      <c r="D34" s="207"/>
      <c r="E34" s="208"/>
      <c r="F34" s="208"/>
      <c r="G34" s="208"/>
      <c r="H34" s="208"/>
      <c r="I34" s="208"/>
      <c r="J34" s="208"/>
      <c r="K34" s="209"/>
      <c r="L34" s="41"/>
      <c r="M34" s="221" t="str">
        <f t="shared" si="0"/>
        <v/>
      </c>
      <c r="N34" s="1"/>
    </row>
    <row r="35" spans="2:14">
      <c r="B35" s="1"/>
      <c r="C35" s="37"/>
      <c r="D35" s="207"/>
      <c r="E35" s="208"/>
      <c r="F35" s="208"/>
      <c r="G35" s="208"/>
      <c r="H35" s="208"/>
      <c r="I35" s="208"/>
      <c r="J35" s="208"/>
      <c r="K35" s="209"/>
      <c r="L35" s="41"/>
      <c r="M35" s="221" t="str">
        <f t="shared" si="0"/>
        <v/>
      </c>
      <c r="N35" s="1"/>
    </row>
    <row r="36" spans="2:14">
      <c r="B36" s="1"/>
      <c r="C36" s="37"/>
      <c r="D36" s="244"/>
      <c r="E36" s="245"/>
      <c r="F36" s="245"/>
      <c r="G36" s="245"/>
      <c r="H36" s="245"/>
      <c r="I36" s="245"/>
      <c r="J36" s="245"/>
      <c r="K36" s="246"/>
      <c r="L36" s="41"/>
      <c r="M36" s="221" t="str">
        <f t="shared" si="0"/>
        <v/>
      </c>
      <c r="N36" s="1"/>
    </row>
    <row r="37" spans="2:14">
      <c r="B37" s="1"/>
      <c r="C37" s="37"/>
      <c r="D37" s="244"/>
      <c r="E37" s="245"/>
      <c r="F37" s="245"/>
      <c r="G37" s="245"/>
      <c r="H37" s="245"/>
      <c r="I37" s="245"/>
      <c r="J37" s="245"/>
      <c r="K37" s="246"/>
      <c r="L37" s="41"/>
      <c r="M37" s="221" t="str">
        <f t="shared" si="0"/>
        <v/>
      </c>
      <c r="N37" s="1"/>
    </row>
    <row r="38" spans="2:14">
      <c r="B38" s="1"/>
      <c r="C38" s="37"/>
      <c r="D38" s="207"/>
      <c r="E38" s="208"/>
      <c r="F38" s="208"/>
      <c r="G38" s="208"/>
      <c r="H38" s="208"/>
      <c r="I38" s="208"/>
      <c r="J38" s="208"/>
      <c r="K38" s="209"/>
      <c r="L38" s="41"/>
      <c r="M38" s="221" t="str">
        <f t="shared" si="0"/>
        <v/>
      </c>
      <c r="N38" s="1"/>
    </row>
    <row r="39" spans="2:14">
      <c r="B39" s="1"/>
      <c r="C39" s="37"/>
      <c r="D39" s="244"/>
      <c r="E39" s="245"/>
      <c r="F39" s="245"/>
      <c r="G39" s="245"/>
      <c r="H39" s="245"/>
      <c r="I39" s="245"/>
      <c r="J39" s="245"/>
      <c r="K39" s="246"/>
      <c r="L39" s="41"/>
      <c r="M39" s="221" t="str">
        <f t="shared" si="0"/>
        <v/>
      </c>
      <c r="N39" s="1"/>
    </row>
    <row r="40" spans="2:14">
      <c r="B40" s="1"/>
      <c r="C40" s="37"/>
      <c r="D40" s="207"/>
      <c r="E40" s="208"/>
      <c r="F40" s="208"/>
      <c r="G40" s="208"/>
      <c r="H40" s="208"/>
      <c r="I40" s="208"/>
      <c r="J40" s="208"/>
      <c r="K40" s="209"/>
      <c r="L40" s="41"/>
      <c r="M40" s="221" t="str">
        <f t="shared" si="0"/>
        <v/>
      </c>
      <c r="N40" s="1"/>
    </row>
    <row r="41" spans="2:14">
      <c r="B41" s="1"/>
      <c r="C41" s="37"/>
      <c r="D41" s="244"/>
      <c r="E41" s="245"/>
      <c r="F41" s="245"/>
      <c r="G41" s="245"/>
      <c r="H41" s="245"/>
      <c r="I41" s="245"/>
      <c r="J41" s="245"/>
      <c r="K41" s="246"/>
      <c r="L41" s="41"/>
      <c r="M41" s="221" t="str">
        <f t="shared" si="0"/>
        <v/>
      </c>
      <c r="N41" s="1"/>
    </row>
    <row r="42" spans="2:14">
      <c r="B42" s="1"/>
      <c r="C42" s="37"/>
      <c r="D42" s="207"/>
      <c r="E42" s="208"/>
      <c r="F42" s="208"/>
      <c r="G42" s="208"/>
      <c r="H42" s="208"/>
      <c r="I42" s="208"/>
      <c r="J42" s="208"/>
      <c r="K42" s="209"/>
      <c r="L42" s="41"/>
      <c r="M42" s="221" t="str">
        <f t="shared" si="0"/>
        <v/>
      </c>
      <c r="N42" s="1"/>
    </row>
    <row r="43" spans="2:14">
      <c r="B43" s="1"/>
      <c r="C43" s="37"/>
      <c r="D43" s="244"/>
      <c r="E43" s="250"/>
      <c r="F43" s="250"/>
      <c r="G43" s="250"/>
      <c r="H43" s="250"/>
      <c r="I43" s="250"/>
      <c r="J43" s="250"/>
      <c r="K43" s="246"/>
      <c r="L43" s="41"/>
      <c r="M43" s="221" t="str">
        <f t="shared" si="0"/>
        <v/>
      </c>
      <c r="N43" s="1"/>
    </row>
    <row r="44" spans="2:14">
      <c r="B44" s="1"/>
      <c r="C44" s="37"/>
      <c r="D44" s="207"/>
      <c r="E44" s="210"/>
      <c r="F44" s="210"/>
      <c r="G44" s="210"/>
      <c r="H44" s="210"/>
      <c r="I44" s="210"/>
      <c r="J44" s="210"/>
      <c r="K44" s="209"/>
      <c r="L44" s="41"/>
      <c r="M44" s="221" t="str">
        <f t="shared" si="0"/>
        <v/>
      </c>
      <c r="N44" s="1"/>
    </row>
    <row r="45" spans="2:14">
      <c r="B45" s="1"/>
      <c r="C45" s="38"/>
      <c r="D45" s="247"/>
      <c r="E45" s="248"/>
      <c r="F45" s="248"/>
      <c r="G45" s="248"/>
      <c r="H45" s="248"/>
      <c r="I45" s="248"/>
      <c r="J45" s="248"/>
      <c r="K45" s="249"/>
      <c r="L45" s="44"/>
      <c r="M45" s="221" t="str">
        <f t="shared" si="0"/>
        <v/>
      </c>
      <c r="N45" s="1"/>
    </row>
    <row r="46" spans="2:14">
      <c r="B46" s="1"/>
      <c r="C46" s="1"/>
      <c r="D46" s="1"/>
      <c r="E46" s="1"/>
      <c r="F46" s="1"/>
      <c r="G46" s="1"/>
      <c r="H46" s="1"/>
      <c r="I46" s="1"/>
      <c r="J46" s="1"/>
      <c r="K46" s="1"/>
      <c r="L46" s="11" t="s">
        <v>12</v>
      </c>
      <c r="M46" s="62">
        <f>IF(SUM(M19:M45)&gt;0,SUM(M19:M45),"")</f>
        <v>1290</v>
      </c>
      <c r="N46" s="1"/>
    </row>
    <row r="47" spans="2:14" ht="13.5" thickBot="1">
      <c r="B47" s="1"/>
      <c r="C47" s="1"/>
      <c r="D47" s="1"/>
      <c r="E47" s="1"/>
      <c r="F47" s="1"/>
      <c r="G47" s="1"/>
      <c r="H47" s="1"/>
      <c r="I47" s="1"/>
      <c r="J47" s="1"/>
      <c r="K47" s="1"/>
      <c r="L47" s="11"/>
      <c r="M47" s="47"/>
      <c r="N47" s="1"/>
    </row>
    <row r="48" spans="2:14" ht="13.5" thickBot="1">
      <c r="B48" s="1"/>
      <c r="C48" s="17" t="s">
        <v>16</v>
      </c>
      <c r="D48" s="18"/>
      <c r="E48" s="19"/>
      <c r="F48" s="19"/>
      <c r="G48" s="13"/>
      <c r="H48" s="13"/>
      <c r="I48" s="8" t="s">
        <v>17</v>
      </c>
      <c r="J48" s="11"/>
      <c r="K48" s="23"/>
      <c r="L48" s="49"/>
      <c r="M48" s="48"/>
      <c r="N48" s="1"/>
    </row>
    <row r="49" spans="2:14">
      <c r="B49" s="1"/>
      <c r="C49" s="12"/>
      <c r="D49" s="242" t="s">
        <v>25</v>
      </c>
      <c r="E49" s="242"/>
      <c r="F49" s="242"/>
      <c r="G49" s="242"/>
      <c r="H49" s="13"/>
      <c r="I49" s="13"/>
      <c r="J49" s="1"/>
      <c r="K49" s="1"/>
      <c r="L49" s="24">
        <v>0</v>
      </c>
      <c r="M49" s="49"/>
      <c r="N49" s="1"/>
    </row>
    <row r="50" spans="2:14">
      <c r="B50" s="1"/>
      <c r="C50" s="15"/>
      <c r="D50" s="242"/>
      <c r="E50" s="242"/>
      <c r="F50" s="242"/>
      <c r="G50" s="242"/>
      <c r="H50" s="14"/>
      <c r="I50" s="14"/>
      <c r="J50" s="1"/>
      <c r="K50" s="1"/>
      <c r="L50" s="2" t="s">
        <v>13</v>
      </c>
      <c r="M50" s="63">
        <f>IF(M46&lt;&gt;"",SUM(M46:M49),"")</f>
        <v>1290</v>
      </c>
      <c r="N50" s="1"/>
    </row>
    <row r="51" spans="2:14">
      <c r="B51" s="1"/>
      <c r="C51" s="15"/>
      <c r="D51" s="242"/>
      <c r="E51" s="242"/>
      <c r="F51" s="242"/>
      <c r="G51" s="242"/>
      <c r="H51" s="14"/>
      <c r="I51" s="14"/>
      <c r="J51" s="1"/>
      <c r="K51" s="1"/>
      <c r="L51" s="1"/>
      <c r="M51" s="1"/>
      <c r="N51" s="1"/>
    </row>
    <row r="52" spans="2:14" ht="12.75" customHeight="1">
      <c r="B52" s="1"/>
      <c r="C52" s="15"/>
      <c r="D52" s="242"/>
      <c r="E52" s="242"/>
      <c r="F52" s="242"/>
      <c r="G52" s="242"/>
      <c r="H52" s="1"/>
      <c r="I52" s="1"/>
      <c r="J52" s="224"/>
      <c r="K52" s="225"/>
      <c r="L52" s="225"/>
      <c r="M52" s="226"/>
      <c r="N52" s="1"/>
    </row>
    <row r="53" spans="2:14">
      <c r="B53" s="1"/>
      <c r="C53" s="15"/>
      <c r="D53" s="242"/>
      <c r="E53" s="242"/>
      <c r="F53" s="242"/>
      <c r="G53" s="242"/>
      <c r="H53" s="1"/>
      <c r="I53" s="1"/>
      <c r="J53" s="227"/>
      <c r="K53" s="228"/>
      <c r="L53" s="228"/>
      <c r="M53" s="229"/>
      <c r="N53" s="1"/>
    </row>
    <row r="54" spans="2:14">
      <c r="B54" s="1"/>
      <c r="C54" s="1"/>
      <c r="D54" s="242"/>
      <c r="E54" s="242"/>
      <c r="F54" s="242"/>
      <c r="G54" s="242"/>
      <c r="H54" s="1"/>
      <c r="I54" s="1"/>
      <c r="J54" s="230"/>
      <c r="K54" s="231"/>
      <c r="L54" s="231"/>
      <c r="M54" s="232"/>
      <c r="N54" s="1"/>
    </row>
    <row r="55" spans="2:14" ht="33.75" customHeight="1">
      <c r="B55" s="1"/>
      <c r="C55" s="1"/>
      <c r="D55" s="1"/>
      <c r="E55" s="1"/>
      <c r="F55" s="1"/>
      <c r="G55" s="1"/>
      <c r="H55" s="1"/>
      <c r="I55" s="1"/>
      <c r="J55" s="1"/>
      <c r="K55" s="1"/>
      <c r="L55" s="1"/>
      <c r="M55" s="1"/>
      <c r="N55" s="1"/>
    </row>
    <row r="56" spans="2:14" ht="12.75" customHeight="1">
      <c r="B56" s="1"/>
      <c r="C56" s="233" t="s">
        <v>27</v>
      </c>
      <c r="D56" s="234"/>
      <c r="E56" s="234"/>
      <c r="F56" s="234"/>
      <c r="G56" s="234"/>
      <c r="H56" s="234"/>
      <c r="I56" s="234"/>
      <c r="J56" s="234"/>
      <c r="K56" s="234"/>
      <c r="L56" s="234"/>
      <c r="M56" s="235"/>
      <c r="N56" s="1"/>
    </row>
    <row r="57" spans="2:14">
      <c r="B57" s="1"/>
      <c r="C57" s="236"/>
      <c r="D57" s="237"/>
      <c r="E57" s="237"/>
      <c r="F57" s="237"/>
      <c r="G57" s="237"/>
      <c r="H57" s="237"/>
      <c r="I57" s="237"/>
      <c r="J57" s="237"/>
      <c r="K57" s="237"/>
      <c r="L57" s="237"/>
      <c r="M57" s="238"/>
      <c r="N57" s="1"/>
    </row>
    <row r="58" spans="2:14">
      <c r="B58" s="1"/>
      <c r="C58" s="236"/>
      <c r="D58" s="237"/>
      <c r="E58" s="237"/>
      <c r="F58" s="237"/>
      <c r="G58" s="237"/>
      <c r="H58" s="237"/>
      <c r="I58" s="237"/>
      <c r="J58" s="237"/>
      <c r="K58" s="237"/>
      <c r="L58" s="237"/>
      <c r="M58" s="238"/>
      <c r="N58" s="1"/>
    </row>
    <row r="59" spans="2:14" ht="63" customHeight="1">
      <c r="B59" s="1"/>
      <c r="C59" s="239"/>
      <c r="D59" s="240"/>
      <c r="E59" s="240"/>
      <c r="F59" s="240"/>
      <c r="G59" s="240"/>
      <c r="H59" s="240"/>
      <c r="I59" s="240"/>
      <c r="J59" s="240"/>
      <c r="K59" s="240"/>
      <c r="L59" s="240"/>
      <c r="M59" s="241"/>
      <c r="N59" s="1"/>
    </row>
    <row r="60" spans="2:14" ht="13.5" thickBot="1">
      <c r="B60" s="1"/>
      <c r="C60" s="1"/>
      <c r="D60" s="1"/>
      <c r="E60" s="1"/>
      <c r="F60" s="1"/>
      <c r="G60" s="1"/>
      <c r="H60" s="1"/>
      <c r="I60" s="1"/>
      <c r="J60" s="1"/>
      <c r="K60" s="1"/>
      <c r="L60" s="1"/>
      <c r="M60" s="1"/>
      <c r="N60" s="1"/>
    </row>
    <row r="61" spans="2:14" ht="13.5" thickTop="1">
      <c r="B61" s="1"/>
      <c r="C61" s="243" t="s">
        <v>28</v>
      </c>
      <c r="D61" s="243"/>
      <c r="E61" s="243"/>
      <c r="F61" s="243"/>
      <c r="G61" s="243"/>
      <c r="H61" s="243"/>
      <c r="I61" s="243"/>
      <c r="J61" s="243"/>
      <c r="K61" s="243"/>
      <c r="L61" s="243"/>
      <c r="M61" s="243"/>
      <c r="N61" s="1"/>
    </row>
    <row r="62" spans="2:14" ht="12.75" customHeight="1">
      <c r="B62" s="1"/>
      <c r="C62" s="1"/>
      <c r="D62" s="222"/>
      <c r="E62" s="222"/>
      <c r="F62" s="222"/>
      <c r="G62" s="222"/>
      <c r="H62" s="222"/>
      <c r="I62" s="222"/>
      <c r="J62" s="222"/>
      <c r="K62" s="222"/>
      <c r="L62" s="222"/>
      <c r="M62" s="1"/>
      <c r="N62" s="1"/>
    </row>
    <row r="63" spans="2:14">
      <c r="B63" s="1"/>
      <c r="C63" s="1"/>
      <c r="D63" s="223"/>
      <c r="E63" s="223"/>
      <c r="F63" s="223"/>
      <c r="G63" s="223"/>
      <c r="H63" s="223"/>
      <c r="I63" s="223"/>
      <c r="J63" s="223"/>
      <c r="K63" s="223"/>
      <c r="L63" s="223"/>
      <c r="M63" s="1"/>
      <c r="N63" s="1"/>
    </row>
    <row r="64" spans="2:14">
      <c r="B64" s="1"/>
      <c r="C64" s="1"/>
      <c r="D64" s="223"/>
      <c r="E64" s="223"/>
      <c r="F64" s="223"/>
      <c r="G64" s="223"/>
      <c r="H64" s="223"/>
      <c r="I64" s="223"/>
      <c r="J64" s="223"/>
      <c r="K64" s="223"/>
      <c r="L64" s="223"/>
      <c r="M64" s="1"/>
      <c r="N64" s="1"/>
    </row>
  </sheetData>
  <sheetProtection selectLockedCells="1"/>
  <mergeCells count="24">
    <mergeCell ref="D30:K30"/>
    <mergeCell ref="H3:K6"/>
    <mergeCell ref="D14:H14"/>
    <mergeCell ref="D16:H16"/>
    <mergeCell ref="D18:K18"/>
    <mergeCell ref="D20:K20"/>
    <mergeCell ref="D21:K21"/>
    <mergeCell ref="D22:K22"/>
    <mergeCell ref="D24:K24"/>
    <mergeCell ref="D25:K25"/>
    <mergeCell ref="D28:K28"/>
    <mergeCell ref="D29:K29"/>
    <mergeCell ref="D62:L64"/>
    <mergeCell ref="D33:K33"/>
    <mergeCell ref="D36:K36"/>
    <mergeCell ref="D37:K37"/>
    <mergeCell ref="D39:K39"/>
    <mergeCell ref="D41:K41"/>
    <mergeCell ref="D43:K43"/>
    <mergeCell ref="D45:K45"/>
    <mergeCell ref="D49:G54"/>
    <mergeCell ref="J52:M54"/>
    <mergeCell ref="C56:M59"/>
    <mergeCell ref="C61:M61"/>
  </mergeCells>
  <dataValidations count="9">
    <dataValidation type="whole" errorStyle="warning" allowBlank="1" showErrorMessage="1" errorTitle="Quantity" error="You must enter a number in this cell." promptTitle="Quantity" sqref="C19:C45" xr:uid="{A342E17B-35C4-406D-92CA-EB075B177815}">
      <formula1>0</formula1>
      <formula2>1000000000</formula2>
    </dataValidation>
    <dataValidation type="decimal" allowBlank="1" showErrorMessage="1" errorTitle="Unit Price" error="You must enter a number into this cell." promptTitle="Unit Price" sqref="L19:L45" xr:uid="{524CB6FB-1451-4610-A17A-F9079378781E}">
      <formula1>0</formula1>
      <formula2>1000000000</formula2>
    </dataValidation>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6" xr:uid="{2FEE522E-53A9-4184-8D03-E46FDCE395C1}"/>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2" xr:uid="{16C8F2F3-074B-489A-BCCC-A506212CD780}"/>
    <dataValidation errorStyle="warning" allowBlank="1" showInputMessage="1" errorTitle="State" promptTitle="State" prompt="Enter the state abbreviation into this cell." sqref="F15" xr:uid="{DF292848-E3FE-42C0-ADA2-9A633A8D5FFC}"/>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2" xr:uid="{2B46E2D2-D394-4A13-A8CC-54C5A8973590}"/>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7" xr:uid="{ABC7D571-1A6B-4D21-84F6-08EBC391B2E6}"/>
    <dataValidation allowBlank="1" showInputMessage="1" showErrorMessage="1" promptTitle="Tax Rate" prompt="To add a tax here, or to change the percentage associated with this tax, enter the tax rate in the cell to the left.  The tax rate will then be automatically calculated." sqref="L49 K48" xr:uid="{83D72612-4572-4006-BE1B-BA941C130236}"/>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73E5FABA-9214-4BEA-996E-E511CE9D5C74}"/>
  </dataValidations>
  <printOptions horizontalCentered="1"/>
  <pageMargins left="0.51181102362204722" right="0.51181102362204722" top="0.9055118110236221" bottom="0.51181102362204722" header="0.74803149606299213" footer="0.51181102362204722"/>
  <pageSetup paperSize="9" scale="80" orientation="portrait" r:id="rId1"/>
  <headerFooter alignWithMargins="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F3E7F-C52C-4FC1-ACF9-DE67A3DF4EEF}">
  <sheetPr>
    <pageSetUpPr fitToPage="1"/>
  </sheetPr>
  <dimension ref="A2:N64"/>
  <sheetViews>
    <sheetView tabSelected="1" zoomScale="85" zoomScaleNormal="85" workbookViewId="0">
      <selection activeCell="M3" sqref="M3"/>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97</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213" t="s">
        <v>36</v>
      </c>
      <c r="E13" s="213"/>
      <c r="F13" s="213"/>
      <c r="G13" s="213"/>
      <c r="H13" s="213"/>
      <c r="I13" s="21"/>
      <c r="J13" s="1"/>
      <c r="K13" s="1"/>
      <c r="L13" s="5" t="s">
        <v>1</v>
      </c>
      <c r="M13" s="50">
        <v>46200</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217" t="s">
        <v>8</v>
      </c>
      <c r="D18" s="254" t="s">
        <v>9</v>
      </c>
      <c r="E18" s="255"/>
      <c r="F18" s="255"/>
      <c r="G18" s="255"/>
      <c r="H18" s="255"/>
      <c r="I18" s="255"/>
      <c r="J18" s="255"/>
      <c r="K18" s="256"/>
      <c r="L18" s="217" t="s">
        <v>10</v>
      </c>
      <c r="M18" s="10" t="s">
        <v>11</v>
      </c>
      <c r="N18" s="1"/>
    </row>
    <row r="19" spans="2:14">
      <c r="B19" s="1"/>
      <c r="C19" s="220"/>
      <c r="D19" s="61"/>
      <c r="E19" s="218"/>
      <c r="F19" s="218"/>
      <c r="G19" s="218"/>
      <c r="H19" s="218"/>
      <c r="I19" s="218"/>
      <c r="J19" s="218"/>
      <c r="K19" s="216"/>
      <c r="L19" s="219"/>
      <c r="M19" s="221"/>
      <c r="N19" s="1"/>
    </row>
    <row r="20" spans="2:14">
      <c r="B20" s="1"/>
      <c r="C20" s="220">
        <v>3</v>
      </c>
      <c r="D20" s="263" t="s">
        <v>86</v>
      </c>
      <c r="E20" s="264"/>
      <c r="F20" s="264"/>
      <c r="G20" s="264"/>
      <c r="H20" s="264"/>
      <c r="I20" s="264"/>
      <c r="J20" s="264"/>
      <c r="K20" s="265"/>
      <c r="L20" s="219">
        <v>150</v>
      </c>
      <c r="M20" s="221">
        <f t="shared" ref="M20:M43" si="0">IF(L20&lt;&gt;"",ROUND(L20*C20,2),"")</f>
        <v>450</v>
      </c>
      <c r="N20" s="1"/>
    </row>
    <row r="21" spans="2:14">
      <c r="B21" s="1"/>
      <c r="C21" s="220"/>
      <c r="D21" s="263"/>
      <c r="E21" s="264"/>
      <c r="F21" s="264"/>
      <c r="G21" s="264"/>
      <c r="H21" s="264"/>
      <c r="I21" s="264"/>
      <c r="J21" s="264"/>
      <c r="K21" s="265"/>
      <c r="L21" s="219"/>
      <c r="M21" s="221"/>
      <c r="N21" s="1"/>
    </row>
    <row r="22" spans="2:14">
      <c r="B22" s="1"/>
      <c r="C22" s="220"/>
      <c r="D22" s="244"/>
      <c r="E22" s="245"/>
      <c r="F22" s="245"/>
      <c r="G22" s="245"/>
      <c r="H22" s="245"/>
      <c r="I22" s="245"/>
      <c r="J22" s="245"/>
      <c r="K22" s="246"/>
      <c r="L22" s="219"/>
      <c r="M22" s="221" t="str">
        <f t="shared" si="0"/>
        <v/>
      </c>
      <c r="N22" s="1"/>
    </row>
    <row r="23" spans="2:14">
      <c r="B23" s="1"/>
      <c r="C23" s="220"/>
      <c r="D23" s="214"/>
      <c r="E23" s="215"/>
      <c r="F23" s="215"/>
      <c r="G23" s="215"/>
      <c r="H23" s="215"/>
      <c r="I23" s="215"/>
      <c r="J23" s="215"/>
      <c r="K23" s="216"/>
      <c r="L23" s="219"/>
      <c r="M23" s="221"/>
      <c r="N23" s="1"/>
    </row>
    <row r="24" spans="2:14">
      <c r="B24" s="1"/>
      <c r="C24" s="220"/>
      <c r="D24" s="244"/>
      <c r="E24" s="245"/>
      <c r="F24" s="245"/>
      <c r="G24" s="245"/>
      <c r="H24" s="245"/>
      <c r="I24" s="245"/>
      <c r="J24" s="245"/>
      <c r="K24" s="246"/>
      <c r="L24" s="219"/>
      <c r="M24" s="221" t="str">
        <f t="shared" si="0"/>
        <v/>
      </c>
      <c r="N24" s="1"/>
    </row>
    <row r="25" spans="2:14">
      <c r="B25" s="1"/>
      <c r="C25" s="220"/>
      <c r="D25" s="244"/>
      <c r="E25" s="245"/>
      <c r="F25" s="245"/>
      <c r="G25" s="245"/>
      <c r="H25" s="245"/>
      <c r="I25" s="245"/>
      <c r="J25" s="245"/>
      <c r="K25" s="246"/>
      <c r="L25" s="219"/>
      <c r="M25" s="221" t="str">
        <f t="shared" si="0"/>
        <v/>
      </c>
      <c r="N25" s="1"/>
    </row>
    <row r="26" spans="2:14">
      <c r="B26" s="1"/>
      <c r="C26" s="220"/>
      <c r="D26" s="214"/>
      <c r="E26" s="215"/>
      <c r="F26" s="215"/>
      <c r="G26" s="215"/>
      <c r="H26" s="215"/>
      <c r="I26" s="215"/>
      <c r="J26" s="215"/>
      <c r="K26" s="216"/>
      <c r="L26" s="219"/>
      <c r="M26" s="221"/>
      <c r="N26" s="1"/>
    </row>
    <row r="27" spans="2:14">
      <c r="B27" s="1"/>
      <c r="C27" s="220"/>
      <c r="D27" s="214"/>
      <c r="E27" s="215"/>
      <c r="F27" s="215"/>
      <c r="G27" s="215"/>
      <c r="H27" s="215"/>
      <c r="I27" s="215"/>
      <c r="J27" s="215"/>
      <c r="K27" s="216"/>
      <c r="L27" s="219"/>
      <c r="M27" s="221" t="str">
        <f t="shared" si="0"/>
        <v/>
      </c>
      <c r="N27" s="1"/>
    </row>
    <row r="28" spans="2:14">
      <c r="B28" s="1"/>
      <c r="C28" s="220"/>
      <c r="D28" s="244"/>
      <c r="E28" s="245"/>
      <c r="F28" s="245"/>
      <c r="G28" s="245"/>
      <c r="H28" s="245"/>
      <c r="I28" s="245"/>
      <c r="J28" s="245"/>
      <c r="K28" s="246"/>
      <c r="L28" s="219"/>
      <c r="M28" s="221"/>
      <c r="N28" s="1"/>
    </row>
    <row r="29" spans="2:14">
      <c r="B29" s="1"/>
      <c r="C29" s="220"/>
      <c r="D29" s="244"/>
      <c r="E29" s="245"/>
      <c r="F29" s="245"/>
      <c r="G29" s="245"/>
      <c r="H29" s="245"/>
      <c r="I29" s="245"/>
      <c r="J29" s="245"/>
      <c r="K29" s="246"/>
      <c r="L29" s="219"/>
      <c r="M29" s="221" t="str">
        <f t="shared" si="0"/>
        <v/>
      </c>
      <c r="N29" s="1"/>
    </row>
    <row r="30" spans="2:14">
      <c r="B30" s="1"/>
      <c r="C30" s="220"/>
      <c r="D30" s="244"/>
      <c r="E30" s="245"/>
      <c r="F30" s="245"/>
      <c r="G30" s="245"/>
      <c r="H30" s="245"/>
      <c r="I30" s="245"/>
      <c r="J30" s="245"/>
      <c r="K30" s="246"/>
      <c r="L30" s="219"/>
      <c r="M30" s="221" t="str">
        <f t="shared" si="0"/>
        <v/>
      </c>
      <c r="N30" s="1"/>
    </row>
    <row r="31" spans="2:14">
      <c r="B31" s="1"/>
      <c r="C31" s="220"/>
      <c r="D31" s="214"/>
      <c r="E31" s="215"/>
      <c r="F31" s="215"/>
      <c r="G31" s="215"/>
      <c r="H31" s="215"/>
      <c r="I31" s="215"/>
      <c r="J31" s="215"/>
      <c r="K31" s="216"/>
      <c r="L31" s="219"/>
      <c r="M31" s="221"/>
      <c r="N31" s="1"/>
    </row>
    <row r="32" spans="2:14">
      <c r="B32" s="1"/>
      <c r="C32" s="220"/>
      <c r="D32" s="214"/>
      <c r="E32" s="215"/>
      <c r="F32" s="215"/>
      <c r="G32" s="215"/>
      <c r="H32" s="215"/>
      <c r="I32" s="215"/>
      <c r="J32" s="215"/>
      <c r="K32" s="216"/>
      <c r="L32" s="219"/>
      <c r="M32" s="221"/>
      <c r="N32" s="1"/>
    </row>
    <row r="33" spans="2:14">
      <c r="B33" s="1"/>
      <c r="C33" s="220"/>
      <c r="D33" s="244"/>
      <c r="E33" s="245"/>
      <c r="F33" s="245"/>
      <c r="G33" s="245"/>
      <c r="H33" s="245"/>
      <c r="I33" s="245"/>
      <c r="J33" s="245"/>
      <c r="K33" s="246"/>
      <c r="L33" s="219"/>
      <c r="M33" s="221" t="str">
        <f t="shared" si="0"/>
        <v/>
      </c>
      <c r="N33" s="1"/>
    </row>
    <row r="34" spans="2:14">
      <c r="B34" s="1"/>
      <c r="C34" s="220"/>
      <c r="D34" s="214"/>
      <c r="E34" s="215"/>
      <c r="F34" s="215"/>
      <c r="G34" s="215"/>
      <c r="H34" s="215"/>
      <c r="I34" s="215"/>
      <c r="J34" s="215"/>
      <c r="K34" s="216"/>
      <c r="L34" s="219"/>
      <c r="M34" s="221"/>
      <c r="N34" s="1"/>
    </row>
    <row r="35" spans="2:14">
      <c r="B35" s="1"/>
      <c r="C35" s="220"/>
      <c r="D35" s="214"/>
      <c r="E35" s="215"/>
      <c r="F35" s="215"/>
      <c r="G35" s="215"/>
      <c r="H35" s="215"/>
      <c r="I35" s="215"/>
      <c r="J35" s="215"/>
      <c r="K35" s="216"/>
      <c r="L35" s="219"/>
      <c r="M35" s="221"/>
      <c r="N35" s="1"/>
    </row>
    <row r="36" spans="2:14">
      <c r="B36" s="1"/>
      <c r="C36" s="220"/>
      <c r="D36" s="244"/>
      <c r="E36" s="245"/>
      <c r="F36" s="245"/>
      <c r="G36" s="245"/>
      <c r="H36" s="245"/>
      <c r="I36" s="245"/>
      <c r="J36" s="245"/>
      <c r="K36" s="246"/>
      <c r="L36" s="219"/>
      <c r="M36" s="221" t="str">
        <f t="shared" si="0"/>
        <v/>
      </c>
      <c r="N36" s="1"/>
    </row>
    <row r="37" spans="2:14">
      <c r="B37" s="1"/>
      <c r="C37" s="220"/>
      <c r="D37" s="244"/>
      <c r="E37" s="245"/>
      <c r="F37" s="245"/>
      <c r="G37" s="245"/>
      <c r="H37" s="245"/>
      <c r="I37" s="245"/>
      <c r="J37" s="245"/>
      <c r="K37" s="246"/>
      <c r="L37" s="219"/>
      <c r="M37" s="221" t="str">
        <f t="shared" si="0"/>
        <v/>
      </c>
      <c r="N37" s="1"/>
    </row>
    <row r="38" spans="2:14">
      <c r="B38" s="1"/>
      <c r="C38" s="220"/>
      <c r="D38" s="214"/>
      <c r="E38" s="215"/>
      <c r="F38" s="215"/>
      <c r="G38" s="215"/>
      <c r="H38" s="215"/>
      <c r="I38" s="215"/>
      <c r="J38" s="215"/>
      <c r="K38" s="216"/>
      <c r="L38" s="219"/>
      <c r="M38" s="221"/>
      <c r="N38" s="1"/>
    </row>
    <row r="39" spans="2:14">
      <c r="B39" s="1"/>
      <c r="C39" s="220"/>
      <c r="D39" s="244"/>
      <c r="E39" s="245"/>
      <c r="F39" s="245"/>
      <c r="G39" s="245"/>
      <c r="H39" s="245"/>
      <c r="I39" s="245"/>
      <c r="J39" s="245"/>
      <c r="K39" s="246"/>
      <c r="L39" s="219"/>
      <c r="M39" s="221" t="str">
        <f t="shared" si="0"/>
        <v/>
      </c>
      <c r="N39" s="1"/>
    </row>
    <row r="40" spans="2:14">
      <c r="B40" s="1"/>
      <c r="C40" s="220"/>
      <c r="D40" s="214"/>
      <c r="E40" s="215"/>
      <c r="F40" s="215"/>
      <c r="G40" s="215"/>
      <c r="H40" s="215"/>
      <c r="I40" s="215"/>
      <c r="J40" s="215"/>
      <c r="K40" s="216"/>
      <c r="L40" s="219"/>
      <c r="M40" s="221"/>
      <c r="N40" s="1"/>
    </row>
    <row r="41" spans="2:14">
      <c r="B41" s="1"/>
      <c r="C41" s="220"/>
      <c r="D41" s="244"/>
      <c r="E41" s="245"/>
      <c r="F41" s="245"/>
      <c r="G41" s="245"/>
      <c r="H41" s="245"/>
      <c r="I41" s="245"/>
      <c r="J41" s="245"/>
      <c r="K41" s="246"/>
      <c r="L41" s="219"/>
      <c r="M41" s="221" t="str">
        <f>IF(L41&lt;&gt;"",ROUND(L41*C41,2),"")</f>
        <v/>
      </c>
      <c r="N41" s="1"/>
    </row>
    <row r="42" spans="2:14">
      <c r="B42" s="1"/>
      <c r="C42" s="220"/>
      <c r="D42" s="214"/>
      <c r="E42" s="215"/>
      <c r="F42" s="215"/>
      <c r="G42" s="215"/>
      <c r="H42" s="215"/>
      <c r="I42" s="215"/>
      <c r="J42" s="215"/>
      <c r="K42" s="216"/>
      <c r="L42" s="219"/>
      <c r="M42" s="221"/>
      <c r="N42" s="1"/>
    </row>
    <row r="43" spans="2:14">
      <c r="B43" s="1"/>
      <c r="C43" s="220"/>
      <c r="D43" s="244"/>
      <c r="E43" s="250"/>
      <c r="F43" s="250"/>
      <c r="G43" s="250"/>
      <c r="H43" s="250"/>
      <c r="I43" s="250"/>
      <c r="J43" s="250"/>
      <c r="K43" s="246"/>
      <c r="L43" s="219"/>
      <c r="M43" s="221" t="str">
        <f t="shared" si="0"/>
        <v/>
      </c>
      <c r="N43" s="1"/>
    </row>
    <row r="44" spans="2:14">
      <c r="B44" s="1"/>
      <c r="C44" s="220"/>
      <c r="D44" s="214"/>
      <c r="E44" s="218"/>
      <c r="F44" s="218"/>
      <c r="G44" s="218"/>
      <c r="H44" s="218"/>
      <c r="I44" s="218"/>
      <c r="J44" s="218"/>
      <c r="K44" s="216"/>
      <c r="L44" s="219"/>
      <c r="M44" s="221"/>
      <c r="N44" s="1"/>
    </row>
    <row r="45" spans="2:14">
      <c r="B45" s="1"/>
      <c r="C45" s="38"/>
      <c r="D45" s="247"/>
      <c r="E45" s="248"/>
      <c r="F45" s="248"/>
      <c r="G45" s="248"/>
      <c r="H45" s="248"/>
      <c r="I45" s="248"/>
      <c r="J45" s="248"/>
      <c r="K45" s="249"/>
      <c r="L45" s="44"/>
      <c r="M45" s="46" t="str">
        <f>IF(L45&lt;&gt;"",ROUND(L45*C45,2),"")</f>
        <v/>
      </c>
      <c r="N45" s="1"/>
    </row>
    <row r="46" spans="2:14">
      <c r="B46" s="1"/>
      <c r="C46" s="1"/>
      <c r="D46" s="1"/>
      <c r="E46" s="1"/>
      <c r="F46" s="1"/>
      <c r="G46" s="1"/>
      <c r="H46" s="1"/>
      <c r="I46" s="1"/>
      <c r="J46" s="1"/>
      <c r="K46" s="1"/>
      <c r="L46" s="11" t="s">
        <v>12</v>
      </c>
      <c r="M46" s="62">
        <f>IF(SUM(M19:M45)&gt;0,SUM(M19:M45),"")</f>
        <v>450</v>
      </c>
      <c r="N46" s="1"/>
    </row>
    <row r="47" spans="2:14" ht="13.5" thickBot="1">
      <c r="B47" s="1"/>
      <c r="C47" s="1"/>
      <c r="D47" s="1"/>
      <c r="E47" s="1"/>
      <c r="F47" s="1"/>
      <c r="G47" s="1"/>
      <c r="H47" s="1"/>
      <c r="I47" s="1"/>
      <c r="J47" s="1"/>
      <c r="K47" s="1"/>
      <c r="L47" s="11"/>
      <c r="M47" s="47"/>
      <c r="N47" s="1"/>
    </row>
    <row r="48" spans="2:14" ht="13.5" thickBot="1">
      <c r="B48" s="1"/>
      <c r="C48" s="17" t="s">
        <v>16</v>
      </c>
      <c r="D48" s="18"/>
      <c r="E48" s="19"/>
      <c r="F48" s="19"/>
      <c r="G48" s="13"/>
      <c r="H48" s="13"/>
      <c r="I48" s="8" t="s">
        <v>17</v>
      </c>
      <c r="J48" s="11"/>
      <c r="K48" s="23"/>
      <c r="L48" s="49"/>
      <c r="M48" s="48"/>
      <c r="N48" s="1"/>
    </row>
    <row r="49" spans="2:14">
      <c r="B49" s="1"/>
      <c r="C49" s="12"/>
      <c r="D49" s="242" t="s">
        <v>25</v>
      </c>
      <c r="E49" s="242"/>
      <c r="F49" s="242"/>
      <c r="G49" s="242"/>
      <c r="H49" s="13"/>
      <c r="I49" s="13"/>
      <c r="J49" s="1"/>
      <c r="K49" s="1"/>
      <c r="L49" s="24">
        <v>0</v>
      </c>
      <c r="M49" s="49"/>
      <c r="N49" s="1"/>
    </row>
    <row r="50" spans="2:14">
      <c r="B50" s="1"/>
      <c r="C50" s="15"/>
      <c r="D50" s="242"/>
      <c r="E50" s="242"/>
      <c r="F50" s="242"/>
      <c r="G50" s="242"/>
      <c r="H50" s="14"/>
      <c r="I50" s="14"/>
      <c r="J50" s="1"/>
      <c r="K50" s="1"/>
      <c r="L50" s="2" t="s">
        <v>13</v>
      </c>
      <c r="M50" s="63">
        <f>IF(M46&lt;&gt;"",SUM(M46:M49),"")</f>
        <v>450</v>
      </c>
      <c r="N50" s="1"/>
    </row>
    <row r="51" spans="2:14">
      <c r="B51" s="1"/>
      <c r="C51" s="15"/>
      <c r="D51" s="242"/>
      <c r="E51" s="242"/>
      <c r="F51" s="242"/>
      <c r="G51" s="242"/>
      <c r="H51" s="14"/>
      <c r="I51" s="14"/>
      <c r="J51" s="1"/>
      <c r="K51" s="1"/>
      <c r="L51" s="1"/>
      <c r="M51" s="1"/>
      <c r="N51" s="1"/>
    </row>
    <row r="52" spans="2:14" ht="12.75" customHeight="1">
      <c r="B52" s="1"/>
      <c r="C52" s="15"/>
      <c r="D52" s="242"/>
      <c r="E52" s="242"/>
      <c r="F52" s="242"/>
      <c r="G52" s="242"/>
      <c r="H52" s="1"/>
      <c r="I52" s="1"/>
      <c r="J52" s="224"/>
      <c r="K52" s="225"/>
      <c r="L52" s="225"/>
      <c r="M52" s="226"/>
      <c r="N52" s="1"/>
    </row>
    <row r="53" spans="2:14">
      <c r="B53" s="1"/>
      <c r="C53" s="15"/>
      <c r="D53" s="242"/>
      <c r="E53" s="242"/>
      <c r="F53" s="242"/>
      <c r="G53" s="242"/>
      <c r="H53" s="1"/>
      <c r="I53" s="1"/>
      <c r="J53" s="227"/>
      <c r="K53" s="228"/>
      <c r="L53" s="228"/>
      <c r="M53" s="229"/>
      <c r="N53" s="1"/>
    </row>
    <row r="54" spans="2:14">
      <c r="B54" s="1"/>
      <c r="C54" s="1"/>
      <c r="D54" s="242"/>
      <c r="E54" s="242"/>
      <c r="F54" s="242"/>
      <c r="G54" s="242"/>
      <c r="H54" s="1"/>
      <c r="I54" s="1"/>
      <c r="J54" s="230"/>
      <c r="K54" s="231"/>
      <c r="L54" s="231"/>
      <c r="M54" s="232"/>
      <c r="N54" s="1"/>
    </row>
    <row r="55" spans="2:14" ht="33.75" customHeight="1">
      <c r="B55" s="1"/>
      <c r="C55" s="1"/>
      <c r="D55" s="1"/>
      <c r="E55" s="1"/>
      <c r="F55" s="1"/>
      <c r="G55" s="1"/>
      <c r="H55" s="1"/>
      <c r="I55" s="1"/>
      <c r="J55" s="1"/>
      <c r="K55" s="1"/>
      <c r="L55" s="1"/>
      <c r="M55" s="1"/>
      <c r="N55" s="1"/>
    </row>
    <row r="56" spans="2:14" ht="12.75" customHeight="1">
      <c r="B56" s="1"/>
      <c r="C56" s="233" t="s">
        <v>27</v>
      </c>
      <c r="D56" s="234"/>
      <c r="E56" s="234"/>
      <c r="F56" s="234"/>
      <c r="G56" s="234"/>
      <c r="H56" s="234"/>
      <c r="I56" s="234"/>
      <c r="J56" s="234"/>
      <c r="K56" s="234"/>
      <c r="L56" s="234"/>
      <c r="M56" s="235"/>
      <c r="N56" s="1"/>
    </row>
    <row r="57" spans="2:14">
      <c r="B57" s="1"/>
      <c r="C57" s="236"/>
      <c r="D57" s="237"/>
      <c r="E57" s="237"/>
      <c r="F57" s="237"/>
      <c r="G57" s="237"/>
      <c r="H57" s="237"/>
      <c r="I57" s="237"/>
      <c r="J57" s="237"/>
      <c r="K57" s="237"/>
      <c r="L57" s="237"/>
      <c r="M57" s="238"/>
      <c r="N57" s="1"/>
    </row>
    <row r="58" spans="2:14">
      <c r="B58" s="1"/>
      <c r="C58" s="236"/>
      <c r="D58" s="237"/>
      <c r="E58" s="237"/>
      <c r="F58" s="237"/>
      <c r="G58" s="237"/>
      <c r="H58" s="237"/>
      <c r="I58" s="237"/>
      <c r="J58" s="237"/>
      <c r="K58" s="237"/>
      <c r="L58" s="237"/>
      <c r="M58" s="238"/>
      <c r="N58" s="1"/>
    </row>
    <row r="59" spans="2:14" ht="63" customHeight="1">
      <c r="B59" s="1"/>
      <c r="C59" s="239"/>
      <c r="D59" s="240"/>
      <c r="E59" s="240"/>
      <c r="F59" s="240"/>
      <c r="G59" s="240"/>
      <c r="H59" s="240"/>
      <c r="I59" s="240"/>
      <c r="J59" s="240"/>
      <c r="K59" s="240"/>
      <c r="L59" s="240"/>
      <c r="M59" s="241"/>
      <c r="N59" s="1"/>
    </row>
    <row r="60" spans="2:14" ht="13.5" thickBot="1">
      <c r="B60" s="1"/>
      <c r="C60" s="1"/>
      <c r="D60" s="1"/>
      <c r="E60" s="1"/>
      <c r="F60" s="1"/>
      <c r="G60" s="1"/>
      <c r="H60" s="1"/>
      <c r="I60" s="1"/>
      <c r="J60" s="1"/>
      <c r="K60" s="1"/>
      <c r="L60" s="1"/>
      <c r="M60" s="1"/>
      <c r="N60" s="1"/>
    </row>
    <row r="61" spans="2:14" ht="13.5" thickTop="1">
      <c r="B61" s="1"/>
      <c r="C61" s="243" t="s">
        <v>28</v>
      </c>
      <c r="D61" s="243"/>
      <c r="E61" s="243"/>
      <c r="F61" s="243"/>
      <c r="G61" s="243"/>
      <c r="H61" s="243"/>
      <c r="I61" s="243"/>
      <c r="J61" s="243"/>
      <c r="K61" s="243"/>
      <c r="L61" s="243"/>
      <c r="M61" s="243"/>
      <c r="N61" s="1"/>
    </row>
    <row r="62" spans="2:14" ht="12.75" customHeight="1">
      <c r="B62" s="1"/>
      <c r="C62" s="1"/>
      <c r="D62" s="222"/>
      <c r="E62" s="222"/>
      <c r="F62" s="222"/>
      <c r="G62" s="222"/>
      <c r="H62" s="222"/>
      <c r="I62" s="222"/>
      <c r="J62" s="222"/>
      <c r="K62" s="222"/>
      <c r="L62" s="222"/>
      <c r="M62" s="1"/>
      <c r="N62" s="1"/>
    </row>
    <row r="63" spans="2:14">
      <c r="B63" s="1"/>
      <c r="C63" s="1"/>
      <c r="D63" s="223"/>
      <c r="E63" s="223"/>
      <c r="F63" s="223"/>
      <c r="G63" s="223"/>
      <c r="H63" s="223"/>
      <c r="I63" s="223"/>
      <c r="J63" s="223"/>
      <c r="K63" s="223"/>
      <c r="L63" s="223"/>
      <c r="M63" s="1"/>
      <c r="N63" s="1"/>
    </row>
    <row r="64" spans="2:14">
      <c r="B64" s="1"/>
      <c r="C64" s="1"/>
      <c r="D64" s="223"/>
      <c r="E64" s="223"/>
      <c r="F64" s="223"/>
      <c r="G64" s="223"/>
      <c r="H64" s="223"/>
      <c r="I64" s="223"/>
      <c r="J64" s="223"/>
      <c r="K64" s="223"/>
      <c r="L64" s="223"/>
      <c r="M64" s="1"/>
      <c r="N64" s="1"/>
    </row>
  </sheetData>
  <sheetProtection selectLockedCells="1"/>
  <mergeCells count="24">
    <mergeCell ref="D45:K45"/>
    <mergeCell ref="D49:G54"/>
    <mergeCell ref="J52:M54"/>
    <mergeCell ref="C56:M59"/>
    <mergeCell ref="C61:M61"/>
    <mergeCell ref="D62:L64"/>
    <mergeCell ref="D33:K33"/>
    <mergeCell ref="D36:K36"/>
    <mergeCell ref="D37:K37"/>
    <mergeCell ref="D39:K39"/>
    <mergeCell ref="D41:K41"/>
    <mergeCell ref="D43:K43"/>
    <mergeCell ref="D22:K22"/>
    <mergeCell ref="D24:K24"/>
    <mergeCell ref="D25:K25"/>
    <mergeCell ref="D28:K28"/>
    <mergeCell ref="D29:K29"/>
    <mergeCell ref="D30:K30"/>
    <mergeCell ref="H3:K6"/>
    <mergeCell ref="D14:H14"/>
    <mergeCell ref="D16:H16"/>
    <mergeCell ref="D18:K18"/>
    <mergeCell ref="D20:K20"/>
    <mergeCell ref="D21:K21"/>
  </mergeCells>
  <dataValidations count="9">
    <dataValidation type="whole" errorStyle="warning" allowBlank="1" showErrorMessage="1" errorTitle="Quantity" error="You must enter a number in this cell." promptTitle="Quantity" sqref="C19:C45" xr:uid="{E187143A-17DF-4EAF-8C2E-4DF9918A6F5A}">
      <formula1>0</formula1>
      <formula2>1000000000</formula2>
    </dataValidation>
    <dataValidation type="decimal" allowBlank="1" showErrorMessage="1" errorTitle="Unit Price" error="You must enter a number into this cell." promptTitle="Unit Price" sqref="L19:L45" xr:uid="{529A061D-12B2-4428-A1D8-64887066E422}">
      <formula1>0</formula1>
      <formula2>1000000000</formula2>
    </dataValidation>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6" xr:uid="{D15577CF-B53E-4AB2-BFFC-93DE6E687E0D}"/>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2" xr:uid="{CAE3ADF2-EF7C-4CC1-ACCC-1B4A8638062A}"/>
    <dataValidation errorStyle="warning" allowBlank="1" showInputMessage="1" errorTitle="State" promptTitle="State" prompt="Enter the state abbreviation into this cell." sqref="F15" xr:uid="{97D5BE36-4BDB-4E28-96BD-124C7C08BD13}"/>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2" xr:uid="{9BE3F6E1-FAF8-419B-9043-02987A06CBA5}"/>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7" xr:uid="{B02D7B02-3D54-428F-9E73-99B091B95A51}"/>
    <dataValidation allowBlank="1" showInputMessage="1" showErrorMessage="1" promptTitle="Tax Rate" prompt="To add a tax here, or to change the percentage associated with this tax, enter the tax rate in the cell to the left.  The tax rate will then be automatically calculated." sqref="L49 K48" xr:uid="{AD12DB09-C8F3-4DDE-968E-1FEEBD6E80C4}"/>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3FBA3CA0-0EE7-4BAF-8714-5423D401E176}"/>
  </dataValidations>
  <printOptions horizontalCentered="1"/>
  <pageMargins left="0.51181102362204722" right="0.51181102362204722" top="0.9055118110236221" bottom="0.51181102362204722" header="0.74803149606299213" footer="0.51181102362204722"/>
  <pageSetup paperSize="9" scale="83" orientation="portrait" r:id="rId1"/>
  <headerFooter alignWithMargins="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29900-4295-44AD-9061-20DF083462EC}">
  <sheetPr>
    <pageSetUpPr fitToPage="1"/>
  </sheetPr>
  <dimension ref="A2:N64"/>
  <sheetViews>
    <sheetView topLeftCell="A10" zoomScale="85" zoomScaleNormal="85" workbookViewId="0">
      <selection activeCell="M26" sqref="M26"/>
    </sheetView>
  </sheetViews>
  <sheetFormatPr defaultRowHeight="12.75"/>
  <cols>
    <col min="1" max="1" width="9.140625" style="16"/>
    <col min="2" max="2" width="5" style="16" customWidth="1"/>
    <col min="3" max="3" width="10" style="16" customWidth="1"/>
    <col min="4" max="4" width="18.5703125" style="16" customWidth="1"/>
    <col min="5" max="5" width="9.140625" style="16"/>
    <col min="6" max="6" width="6" style="16" customWidth="1"/>
    <col min="7" max="7" width="6.28515625" style="16" customWidth="1"/>
    <col min="8" max="8" width="9.140625" style="16"/>
    <col min="9" max="9" width="1.7109375" style="16" customWidth="1"/>
    <col min="10" max="11" width="5.28515625" style="16" customWidth="1"/>
    <col min="12" max="12" width="13.5703125" style="16" bestFit="1" customWidth="1"/>
    <col min="13" max="13" width="14.85546875" style="16" customWidth="1"/>
    <col min="14" max="14" width="5" style="16" customWidth="1"/>
    <col min="15" max="16384" width="9.140625" style="16"/>
  </cols>
  <sheetData>
    <row r="2" spans="1:14" ht="18.75" customHeight="1">
      <c r="A2" s="26" t="s">
        <v>18</v>
      </c>
      <c r="B2" s="1"/>
      <c r="C2" s="1"/>
      <c r="D2" s="1"/>
      <c r="E2" s="1"/>
      <c r="F2" s="1"/>
      <c r="G2" s="1"/>
      <c r="H2" s="1"/>
      <c r="I2" s="1"/>
      <c r="J2" s="1"/>
      <c r="K2" s="1"/>
      <c r="L2" s="1"/>
      <c r="M2" s="1"/>
      <c r="N2" s="1"/>
    </row>
    <row r="3" spans="1:14" ht="12.75" customHeight="1">
      <c r="A3" s="26" t="s">
        <v>19</v>
      </c>
      <c r="B3" s="1"/>
      <c r="C3" s="52"/>
      <c r="D3" s="51"/>
      <c r="E3" s="51"/>
      <c r="F3" s="51"/>
      <c r="G3" s="51"/>
      <c r="H3" s="251" t="s">
        <v>26</v>
      </c>
      <c r="I3" s="251"/>
      <c r="J3" s="251"/>
      <c r="K3" s="251"/>
      <c r="L3" s="2" t="s">
        <v>23</v>
      </c>
      <c r="M3" s="40" t="s">
        <v>87</v>
      </c>
      <c r="N3" s="3"/>
    </row>
    <row r="4" spans="1:14" ht="18">
      <c r="A4" s="26" t="s">
        <v>20</v>
      </c>
      <c r="B4" s="1"/>
      <c r="C4" s="53"/>
      <c r="D4" s="51"/>
      <c r="E4" s="51"/>
      <c r="F4" s="51"/>
      <c r="G4" s="51"/>
      <c r="H4" s="251"/>
      <c r="I4" s="251"/>
      <c r="J4" s="251"/>
      <c r="K4" s="251"/>
      <c r="L4" s="2"/>
      <c r="M4" s="3"/>
      <c r="N4" s="3"/>
    </row>
    <row r="5" spans="1:14" ht="20.25" customHeight="1">
      <c r="A5" s="26" t="s">
        <v>21</v>
      </c>
      <c r="B5" s="1"/>
      <c r="C5" s="52"/>
      <c r="D5" s="51"/>
      <c r="E5" s="51"/>
      <c r="F5" s="51"/>
      <c r="G5" s="51"/>
      <c r="H5" s="251"/>
      <c r="I5" s="251"/>
      <c r="J5" s="251"/>
      <c r="K5" s="251"/>
      <c r="L5" s="1"/>
      <c r="M5" s="1"/>
      <c r="N5" s="1"/>
    </row>
    <row r="6" spans="1:14" ht="22.5" customHeight="1" thickBot="1">
      <c r="B6" s="1"/>
      <c r="C6" s="52"/>
      <c r="D6" s="51"/>
      <c r="E6" s="51"/>
      <c r="F6" s="51"/>
      <c r="G6" s="51"/>
      <c r="H6" s="251"/>
      <c r="I6" s="251"/>
      <c r="J6" s="251"/>
      <c r="K6" s="251"/>
      <c r="L6" s="1"/>
      <c r="M6" s="30"/>
      <c r="N6" s="1"/>
    </row>
    <row r="7" spans="1:14" ht="21.75" customHeight="1" thickTop="1" thickBot="1">
      <c r="B7" s="1"/>
      <c r="C7" s="28"/>
      <c r="D7" s="28"/>
      <c r="E7" s="28"/>
      <c r="F7" s="28"/>
      <c r="G7" s="28"/>
      <c r="H7" s="28"/>
      <c r="I7" s="28"/>
      <c r="J7" s="28"/>
      <c r="K7" s="28"/>
      <c r="L7" s="29"/>
      <c r="M7" s="27" t="s">
        <v>24</v>
      </c>
      <c r="N7" s="1"/>
    </row>
    <row r="8" spans="1:14" ht="4.5" customHeight="1" thickTop="1">
      <c r="B8" s="1"/>
      <c r="C8" s="22"/>
      <c r="D8" s="22"/>
      <c r="E8" s="22"/>
      <c r="F8" s="22"/>
      <c r="G8" s="22"/>
      <c r="H8" s="22"/>
      <c r="I8" s="22"/>
      <c r="J8" s="22"/>
      <c r="K8" s="22"/>
      <c r="L8" s="22"/>
      <c r="M8" s="22"/>
      <c r="N8" s="4"/>
    </row>
    <row r="9" spans="1:14">
      <c r="B9" s="1"/>
      <c r="C9" s="1"/>
      <c r="D9" s="1"/>
      <c r="E9" s="1"/>
      <c r="F9" s="1"/>
      <c r="G9" s="1"/>
      <c r="H9" s="1"/>
      <c r="I9" s="1"/>
      <c r="J9" s="1"/>
      <c r="K9" s="1"/>
      <c r="L9" s="1"/>
      <c r="M9" s="1"/>
      <c r="N9" s="1"/>
    </row>
    <row r="10" spans="1:14" ht="33.75" customHeight="1" thickBot="1">
      <c r="B10" s="1"/>
      <c r="C10" s="1"/>
      <c r="D10" s="1"/>
      <c r="E10" s="1"/>
      <c r="F10" s="1"/>
      <c r="G10" s="1"/>
      <c r="H10" s="1"/>
      <c r="I10" s="1"/>
      <c r="J10" s="1"/>
      <c r="K10" s="1"/>
      <c r="L10" s="1"/>
      <c r="M10" s="1"/>
      <c r="N10" s="1"/>
    </row>
    <row r="11" spans="1:14" ht="13.5" thickBot="1">
      <c r="B11" s="1"/>
      <c r="C11" s="17" t="s">
        <v>14</v>
      </c>
      <c r="D11" s="18"/>
      <c r="E11" s="19"/>
      <c r="F11" s="19"/>
      <c r="G11" s="19"/>
      <c r="H11" s="19"/>
      <c r="I11" s="20"/>
      <c r="J11" s="1"/>
      <c r="K11" s="1"/>
      <c r="L11" s="17" t="s">
        <v>15</v>
      </c>
      <c r="M11" s="25"/>
      <c r="N11" s="1"/>
    </row>
    <row r="12" spans="1:14" ht="6" customHeight="1">
      <c r="B12" s="1"/>
      <c r="C12" s="1"/>
      <c r="D12" s="1"/>
      <c r="E12" s="1"/>
      <c r="F12" s="1"/>
      <c r="G12" s="1"/>
      <c r="H12" s="1"/>
      <c r="I12" s="21"/>
      <c r="J12" s="1"/>
      <c r="K12" s="1"/>
      <c r="L12" s="1"/>
      <c r="M12" s="21"/>
      <c r="N12" s="1"/>
    </row>
    <row r="13" spans="1:14">
      <c r="B13" s="1"/>
      <c r="C13" s="5" t="s">
        <v>0</v>
      </c>
      <c r="D13" s="205" t="s">
        <v>36</v>
      </c>
      <c r="E13" s="205"/>
      <c r="F13" s="205"/>
      <c r="G13" s="205"/>
      <c r="H13" s="205"/>
      <c r="I13" s="21"/>
      <c r="J13" s="1"/>
      <c r="K13" s="1"/>
      <c r="L13" s="5" t="s">
        <v>1</v>
      </c>
      <c r="M13" s="50">
        <v>46261</v>
      </c>
      <c r="N13" s="6"/>
    </row>
    <row r="14" spans="1:14">
      <c r="B14" s="1"/>
      <c r="C14" s="5" t="s">
        <v>2</v>
      </c>
      <c r="D14" s="253" t="s">
        <v>37</v>
      </c>
      <c r="E14" s="253"/>
      <c r="F14" s="253"/>
      <c r="G14" s="253"/>
      <c r="H14" s="253"/>
      <c r="I14" s="21"/>
      <c r="J14" s="1"/>
      <c r="K14" s="1"/>
      <c r="L14" s="5" t="s">
        <v>3</v>
      </c>
      <c r="M14" s="34"/>
      <c r="N14" s="7"/>
    </row>
    <row r="15" spans="1:14">
      <c r="B15" s="1"/>
      <c r="C15" s="5" t="s">
        <v>4</v>
      </c>
      <c r="D15" s="31" t="s">
        <v>38</v>
      </c>
      <c r="E15" s="32"/>
      <c r="F15" s="33"/>
      <c r="G15" s="39" t="s">
        <v>22</v>
      </c>
      <c r="H15" s="33"/>
      <c r="I15" s="21"/>
      <c r="J15" s="1"/>
      <c r="K15" s="1"/>
      <c r="L15" s="5" t="s">
        <v>5</v>
      </c>
      <c r="M15" s="35"/>
      <c r="N15" s="1"/>
    </row>
    <row r="16" spans="1:14">
      <c r="B16" s="1"/>
      <c r="C16" s="5" t="s">
        <v>6</v>
      </c>
      <c r="D16" s="252"/>
      <c r="E16" s="252"/>
      <c r="F16" s="252"/>
      <c r="G16" s="252"/>
      <c r="H16" s="252"/>
      <c r="I16" s="21"/>
      <c r="J16" s="1"/>
      <c r="K16" s="1"/>
      <c r="L16" s="5" t="s">
        <v>7</v>
      </c>
      <c r="M16" s="35"/>
      <c r="N16" s="1"/>
    </row>
    <row r="17" spans="2:14">
      <c r="B17" s="1"/>
      <c r="C17" s="1"/>
      <c r="D17" s="1"/>
      <c r="E17" s="1"/>
      <c r="F17" s="1"/>
      <c r="G17" s="1"/>
      <c r="H17" s="1"/>
      <c r="I17" s="1"/>
      <c r="J17" s="1"/>
      <c r="K17" s="1"/>
      <c r="L17" s="1"/>
      <c r="M17" s="1"/>
      <c r="N17" s="1"/>
    </row>
    <row r="18" spans="2:14">
      <c r="B18" s="1"/>
      <c r="C18" s="206" t="s">
        <v>8</v>
      </c>
      <c r="D18" s="254" t="s">
        <v>9</v>
      </c>
      <c r="E18" s="255"/>
      <c r="F18" s="255"/>
      <c r="G18" s="255"/>
      <c r="H18" s="255"/>
      <c r="I18" s="255"/>
      <c r="J18" s="255"/>
      <c r="K18" s="256"/>
      <c r="L18" s="206" t="s">
        <v>10</v>
      </c>
      <c r="M18" s="10" t="s">
        <v>11</v>
      </c>
      <c r="N18" s="1"/>
    </row>
    <row r="19" spans="2:14">
      <c r="B19" s="1"/>
      <c r="C19" s="37"/>
      <c r="D19" s="61"/>
      <c r="E19" s="204"/>
      <c r="F19" s="204"/>
      <c r="G19" s="204"/>
      <c r="H19" s="204"/>
      <c r="I19" s="204"/>
      <c r="J19" s="204"/>
      <c r="K19" s="203"/>
      <c r="L19" s="41"/>
      <c r="M19" s="42"/>
      <c r="N19" s="1"/>
    </row>
    <row r="20" spans="2:14">
      <c r="B20" s="1"/>
      <c r="C20" s="37">
        <v>4</v>
      </c>
      <c r="D20" s="263" t="s">
        <v>86</v>
      </c>
      <c r="E20" s="264"/>
      <c r="F20" s="264"/>
      <c r="G20" s="264"/>
      <c r="H20" s="264"/>
      <c r="I20" s="264"/>
      <c r="J20" s="264"/>
      <c r="K20" s="265"/>
      <c r="L20" s="41">
        <v>150</v>
      </c>
      <c r="M20" s="42">
        <f t="shared" ref="M20:M43" si="0">IF(L20&lt;&gt;"",ROUND(L20*C20,2),"")</f>
        <v>600</v>
      </c>
      <c r="N20" s="1"/>
    </row>
    <row r="21" spans="2:14">
      <c r="B21" s="1"/>
      <c r="C21" s="37"/>
      <c r="D21" s="263"/>
      <c r="E21" s="264"/>
      <c r="F21" s="264"/>
      <c r="G21" s="264"/>
      <c r="H21" s="264"/>
      <c r="I21" s="264"/>
      <c r="J21" s="264"/>
      <c r="K21" s="265"/>
      <c r="L21" s="41"/>
      <c r="M21" s="42"/>
      <c r="N21" s="1"/>
    </row>
    <row r="22" spans="2:14">
      <c r="B22" s="1"/>
      <c r="C22" s="37"/>
      <c r="D22" s="244"/>
      <c r="E22" s="245"/>
      <c r="F22" s="245"/>
      <c r="G22" s="245"/>
      <c r="H22" s="245"/>
      <c r="I22" s="245"/>
      <c r="J22" s="245"/>
      <c r="K22" s="246"/>
      <c r="L22" s="41"/>
      <c r="M22" s="42" t="str">
        <f t="shared" si="0"/>
        <v/>
      </c>
      <c r="N22" s="1"/>
    </row>
    <row r="23" spans="2:14">
      <c r="B23" s="1"/>
      <c r="C23" s="37"/>
      <c r="D23" s="201"/>
      <c r="E23" s="202"/>
      <c r="F23" s="202"/>
      <c r="G23" s="202"/>
      <c r="H23" s="202"/>
      <c r="I23" s="202"/>
      <c r="J23" s="202"/>
      <c r="K23" s="203"/>
      <c r="L23" s="41"/>
      <c r="M23" s="42"/>
      <c r="N23" s="1"/>
    </row>
    <row r="24" spans="2:14">
      <c r="B24" s="1"/>
      <c r="C24" s="37"/>
      <c r="D24" s="244"/>
      <c r="E24" s="245"/>
      <c r="F24" s="245"/>
      <c r="G24" s="245"/>
      <c r="H24" s="245"/>
      <c r="I24" s="245"/>
      <c r="J24" s="245"/>
      <c r="K24" s="246"/>
      <c r="L24" s="41"/>
      <c r="M24" s="42" t="str">
        <f t="shared" si="0"/>
        <v/>
      </c>
      <c r="N24" s="1"/>
    </row>
    <row r="25" spans="2:14">
      <c r="B25" s="1"/>
      <c r="C25" s="37"/>
      <c r="D25" s="244"/>
      <c r="E25" s="245"/>
      <c r="F25" s="245"/>
      <c r="G25" s="245"/>
      <c r="H25" s="245"/>
      <c r="I25" s="245"/>
      <c r="J25" s="245"/>
      <c r="K25" s="246"/>
      <c r="L25" s="41"/>
      <c r="M25" s="42" t="str">
        <f t="shared" si="0"/>
        <v/>
      </c>
      <c r="N25" s="1"/>
    </row>
    <row r="26" spans="2:14">
      <c r="B26" s="1"/>
      <c r="C26" s="37"/>
      <c r="D26" s="201"/>
      <c r="E26" s="202"/>
      <c r="F26" s="202"/>
      <c r="G26" s="202"/>
      <c r="H26" s="202"/>
      <c r="I26" s="202"/>
      <c r="J26" s="202"/>
      <c r="K26" s="203"/>
      <c r="L26" s="41"/>
      <c r="M26" s="42"/>
      <c r="N26" s="1"/>
    </row>
    <row r="27" spans="2:14">
      <c r="B27" s="1"/>
      <c r="C27" s="37"/>
      <c r="D27" s="201"/>
      <c r="E27" s="202"/>
      <c r="F27" s="202"/>
      <c r="G27" s="202"/>
      <c r="H27" s="202"/>
      <c r="I27" s="202"/>
      <c r="J27" s="202"/>
      <c r="K27" s="203"/>
      <c r="L27" s="41"/>
      <c r="M27" s="42" t="str">
        <f t="shared" si="0"/>
        <v/>
      </c>
      <c r="N27" s="1"/>
    </row>
    <row r="28" spans="2:14">
      <c r="B28" s="1"/>
      <c r="C28" s="37"/>
      <c r="D28" s="244"/>
      <c r="E28" s="245"/>
      <c r="F28" s="245"/>
      <c r="G28" s="245"/>
      <c r="H28" s="245"/>
      <c r="I28" s="245"/>
      <c r="J28" s="245"/>
      <c r="K28" s="246"/>
      <c r="L28" s="41"/>
      <c r="M28" s="42"/>
      <c r="N28" s="1"/>
    </row>
    <row r="29" spans="2:14">
      <c r="B29" s="1"/>
      <c r="C29" s="37"/>
      <c r="D29" s="244"/>
      <c r="E29" s="245"/>
      <c r="F29" s="245"/>
      <c r="G29" s="245"/>
      <c r="H29" s="245"/>
      <c r="I29" s="245"/>
      <c r="J29" s="245"/>
      <c r="K29" s="246"/>
      <c r="L29" s="41"/>
      <c r="M29" s="42" t="str">
        <f t="shared" si="0"/>
        <v/>
      </c>
      <c r="N29" s="1"/>
    </row>
    <row r="30" spans="2:14">
      <c r="B30" s="1"/>
      <c r="C30" s="37"/>
      <c r="D30" s="244"/>
      <c r="E30" s="245"/>
      <c r="F30" s="245"/>
      <c r="G30" s="245"/>
      <c r="H30" s="245"/>
      <c r="I30" s="245"/>
      <c r="J30" s="245"/>
      <c r="K30" s="246"/>
      <c r="L30" s="41"/>
      <c r="M30" s="42" t="str">
        <f t="shared" si="0"/>
        <v/>
      </c>
      <c r="N30" s="1"/>
    </row>
    <row r="31" spans="2:14">
      <c r="B31" s="1"/>
      <c r="C31" s="37"/>
      <c r="D31" s="201"/>
      <c r="E31" s="202"/>
      <c r="F31" s="202"/>
      <c r="G31" s="202"/>
      <c r="H31" s="202"/>
      <c r="I31" s="202"/>
      <c r="J31" s="202"/>
      <c r="K31" s="203"/>
      <c r="L31" s="41"/>
      <c r="M31" s="42"/>
      <c r="N31" s="1"/>
    </row>
    <row r="32" spans="2:14">
      <c r="B32" s="1"/>
      <c r="C32" s="37"/>
      <c r="D32" s="201"/>
      <c r="E32" s="202"/>
      <c r="F32" s="202"/>
      <c r="G32" s="202"/>
      <c r="H32" s="202"/>
      <c r="I32" s="202"/>
      <c r="J32" s="202"/>
      <c r="K32" s="203"/>
      <c r="L32" s="41"/>
      <c r="M32" s="42"/>
      <c r="N32" s="1"/>
    </row>
    <row r="33" spans="2:14">
      <c r="B33" s="1"/>
      <c r="C33" s="37"/>
      <c r="D33" s="244"/>
      <c r="E33" s="245"/>
      <c r="F33" s="245"/>
      <c r="G33" s="245"/>
      <c r="H33" s="245"/>
      <c r="I33" s="245"/>
      <c r="J33" s="245"/>
      <c r="K33" s="246"/>
      <c r="L33" s="41"/>
      <c r="M33" s="42" t="str">
        <f t="shared" si="0"/>
        <v/>
      </c>
      <c r="N33" s="1"/>
    </row>
    <row r="34" spans="2:14">
      <c r="B34" s="1"/>
      <c r="C34" s="37"/>
      <c r="D34" s="201"/>
      <c r="E34" s="202"/>
      <c r="F34" s="202"/>
      <c r="G34" s="202"/>
      <c r="H34" s="202"/>
      <c r="I34" s="202"/>
      <c r="J34" s="202"/>
      <c r="K34" s="203"/>
      <c r="L34" s="41"/>
      <c r="M34" s="42"/>
      <c r="N34" s="1"/>
    </row>
    <row r="35" spans="2:14">
      <c r="B35" s="1"/>
      <c r="C35" s="37"/>
      <c r="D35" s="201"/>
      <c r="E35" s="202"/>
      <c r="F35" s="202"/>
      <c r="G35" s="202"/>
      <c r="H35" s="202"/>
      <c r="I35" s="202"/>
      <c r="J35" s="202"/>
      <c r="K35" s="203"/>
      <c r="L35" s="41"/>
      <c r="M35" s="42"/>
      <c r="N35" s="1"/>
    </row>
    <row r="36" spans="2:14">
      <c r="B36" s="1"/>
      <c r="C36" s="37"/>
      <c r="D36" s="244"/>
      <c r="E36" s="245"/>
      <c r="F36" s="245"/>
      <c r="G36" s="245"/>
      <c r="H36" s="245"/>
      <c r="I36" s="245"/>
      <c r="J36" s="245"/>
      <c r="K36" s="246"/>
      <c r="L36" s="41"/>
      <c r="M36" s="42" t="str">
        <f t="shared" si="0"/>
        <v/>
      </c>
      <c r="N36" s="1"/>
    </row>
    <row r="37" spans="2:14">
      <c r="B37" s="1"/>
      <c r="C37" s="37"/>
      <c r="D37" s="244"/>
      <c r="E37" s="245"/>
      <c r="F37" s="245"/>
      <c r="G37" s="245"/>
      <c r="H37" s="245"/>
      <c r="I37" s="245"/>
      <c r="J37" s="245"/>
      <c r="K37" s="246"/>
      <c r="L37" s="41"/>
      <c r="M37" s="42" t="str">
        <f t="shared" si="0"/>
        <v/>
      </c>
      <c r="N37" s="1"/>
    </row>
    <row r="38" spans="2:14">
      <c r="B38" s="1"/>
      <c r="C38" s="37"/>
      <c r="D38" s="201"/>
      <c r="E38" s="202"/>
      <c r="F38" s="202"/>
      <c r="G38" s="202"/>
      <c r="H38" s="202"/>
      <c r="I38" s="202"/>
      <c r="J38" s="202"/>
      <c r="K38" s="203"/>
      <c r="L38" s="41"/>
      <c r="M38" s="42"/>
      <c r="N38" s="1"/>
    </row>
    <row r="39" spans="2:14">
      <c r="B39" s="1"/>
      <c r="C39" s="37"/>
      <c r="D39" s="244"/>
      <c r="E39" s="245"/>
      <c r="F39" s="245"/>
      <c r="G39" s="245"/>
      <c r="H39" s="245"/>
      <c r="I39" s="245"/>
      <c r="J39" s="245"/>
      <c r="K39" s="246"/>
      <c r="L39" s="41"/>
      <c r="M39" s="42" t="str">
        <f t="shared" si="0"/>
        <v/>
      </c>
      <c r="N39" s="1"/>
    </row>
    <row r="40" spans="2:14">
      <c r="B40" s="1"/>
      <c r="C40" s="37"/>
      <c r="D40" s="201"/>
      <c r="E40" s="202"/>
      <c r="F40" s="202"/>
      <c r="G40" s="202"/>
      <c r="H40" s="202"/>
      <c r="I40" s="202"/>
      <c r="J40" s="202"/>
      <c r="K40" s="203"/>
      <c r="L40" s="41"/>
      <c r="M40" s="42"/>
      <c r="N40" s="1"/>
    </row>
    <row r="41" spans="2:14">
      <c r="B41" s="1"/>
      <c r="C41" s="37"/>
      <c r="D41" s="244"/>
      <c r="E41" s="245"/>
      <c r="F41" s="245"/>
      <c r="G41" s="245"/>
      <c r="H41" s="245"/>
      <c r="I41" s="245"/>
      <c r="J41" s="245"/>
      <c r="K41" s="246"/>
      <c r="L41" s="41"/>
      <c r="M41" s="42" t="str">
        <f>IF(L41&lt;&gt;"",ROUND(L41*C41,2),"")</f>
        <v/>
      </c>
      <c r="N41" s="1"/>
    </row>
    <row r="42" spans="2:14">
      <c r="B42" s="1"/>
      <c r="C42" s="37"/>
      <c r="D42" s="201"/>
      <c r="E42" s="202"/>
      <c r="F42" s="202"/>
      <c r="G42" s="202"/>
      <c r="H42" s="202"/>
      <c r="I42" s="202"/>
      <c r="J42" s="202"/>
      <c r="K42" s="203"/>
      <c r="L42" s="41"/>
      <c r="M42" s="42"/>
      <c r="N42" s="1"/>
    </row>
    <row r="43" spans="2:14">
      <c r="B43" s="1"/>
      <c r="C43" s="37"/>
      <c r="D43" s="244"/>
      <c r="E43" s="250"/>
      <c r="F43" s="250"/>
      <c r="G43" s="250"/>
      <c r="H43" s="250"/>
      <c r="I43" s="250"/>
      <c r="J43" s="250"/>
      <c r="K43" s="246"/>
      <c r="L43" s="41"/>
      <c r="M43" s="42" t="str">
        <f t="shared" si="0"/>
        <v/>
      </c>
      <c r="N43" s="1"/>
    </row>
    <row r="44" spans="2:14">
      <c r="B44" s="1"/>
      <c r="C44" s="37"/>
      <c r="D44" s="201"/>
      <c r="E44" s="204"/>
      <c r="F44" s="204"/>
      <c r="G44" s="204"/>
      <c r="H44" s="204"/>
      <c r="I44" s="204"/>
      <c r="J44" s="204"/>
      <c r="K44" s="203"/>
      <c r="L44" s="41"/>
      <c r="M44" s="42"/>
      <c r="N44" s="1"/>
    </row>
    <row r="45" spans="2:14">
      <c r="B45" s="1"/>
      <c r="C45" s="38"/>
      <c r="D45" s="247"/>
      <c r="E45" s="248"/>
      <c r="F45" s="248"/>
      <c r="G45" s="248"/>
      <c r="H45" s="248"/>
      <c r="I45" s="248"/>
      <c r="J45" s="248"/>
      <c r="K45" s="249"/>
      <c r="L45" s="44"/>
      <c r="M45" s="46" t="str">
        <f>IF(L45&lt;&gt;"",ROUND(L45*C45,2),"")</f>
        <v/>
      </c>
      <c r="N45" s="1"/>
    </row>
    <row r="46" spans="2:14">
      <c r="B46" s="1"/>
      <c r="C46" s="1"/>
      <c r="D46" s="1"/>
      <c r="E46" s="1"/>
      <c r="F46" s="1"/>
      <c r="G46" s="1"/>
      <c r="H46" s="1"/>
      <c r="I46" s="1"/>
      <c r="J46" s="1"/>
      <c r="K46" s="1"/>
      <c r="L46" s="11" t="s">
        <v>12</v>
      </c>
      <c r="M46" s="62">
        <f>IF(SUM(M19:M45)&gt;0,SUM(M19:M45),"")</f>
        <v>600</v>
      </c>
      <c r="N46" s="1"/>
    </row>
    <row r="47" spans="2:14" ht="13.5" thickBot="1">
      <c r="B47" s="1"/>
      <c r="C47" s="1"/>
      <c r="D47" s="1"/>
      <c r="E47" s="1"/>
      <c r="F47" s="1"/>
      <c r="G47" s="1"/>
      <c r="H47" s="1"/>
      <c r="I47" s="1"/>
      <c r="J47" s="1"/>
      <c r="K47" s="1"/>
      <c r="L47" s="11"/>
      <c r="M47" s="47"/>
      <c r="N47" s="1"/>
    </row>
    <row r="48" spans="2:14" ht="13.5" thickBot="1">
      <c r="B48" s="1"/>
      <c r="C48" s="17" t="s">
        <v>16</v>
      </c>
      <c r="D48" s="18"/>
      <c r="E48" s="19"/>
      <c r="F48" s="19"/>
      <c r="G48" s="13"/>
      <c r="H48" s="13"/>
      <c r="I48" s="8" t="s">
        <v>17</v>
      </c>
      <c r="J48" s="11"/>
      <c r="K48" s="23"/>
      <c r="L48" s="49"/>
      <c r="M48" s="48"/>
      <c r="N48" s="1"/>
    </row>
    <row r="49" spans="2:14">
      <c r="B49" s="1"/>
      <c r="C49" s="12"/>
      <c r="D49" s="242" t="s">
        <v>25</v>
      </c>
      <c r="E49" s="242"/>
      <c r="F49" s="242"/>
      <c r="G49" s="242"/>
      <c r="H49" s="13"/>
      <c r="I49" s="13"/>
      <c r="J49" s="1"/>
      <c r="K49" s="1"/>
      <c r="L49" s="24">
        <v>0</v>
      </c>
      <c r="M49" s="49"/>
      <c r="N49" s="1"/>
    </row>
    <row r="50" spans="2:14">
      <c r="B50" s="1"/>
      <c r="C50" s="15"/>
      <c r="D50" s="242"/>
      <c r="E50" s="242"/>
      <c r="F50" s="242"/>
      <c r="G50" s="242"/>
      <c r="H50" s="14"/>
      <c r="I50" s="14"/>
      <c r="J50" s="1"/>
      <c r="K50" s="1"/>
      <c r="L50" s="2" t="s">
        <v>13</v>
      </c>
      <c r="M50" s="63">
        <f>IF(M46&lt;&gt;"",SUM(M46:M49),"")</f>
        <v>600</v>
      </c>
      <c r="N50" s="1"/>
    </row>
    <row r="51" spans="2:14">
      <c r="B51" s="1"/>
      <c r="C51" s="15"/>
      <c r="D51" s="242"/>
      <c r="E51" s="242"/>
      <c r="F51" s="242"/>
      <c r="G51" s="242"/>
      <c r="H51" s="14"/>
      <c r="I51" s="14"/>
      <c r="J51" s="1"/>
      <c r="K51" s="1"/>
      <c r="L51" s="1"/>
      <c r="M51" s="1"/>
      <c r="N51" s="1"/>
    </row>
    <row r="52" spans="2:14" ht="12.75" customHeight="1">
      <c r="B52" s="1"/>
      <c r="C52" s="15"/>
      <c r="D52" s="242"/>
      <c r="E52" s="242"/>
      <c r="F52" s="242"/>
      <c r="G52" s="242"/>
      <c r="H52" s="1"/>
      <c r="I52" s="1"/>
      <c r="J52" s="224"/>
      <c r="K52" s="225"/>
      <c r="L52" s="225"/>
      <c r="M52" s="226"/>
      <c r="N52" s="1"/>
    </row>
    <row r="53" spans="2:14">
      <c r="B53" s="1"/>
      <c r="C53" s="15"/>
      <c r="D53" s="242"/>
      <c r="E53" s="242"/>
      <c r="F53" s="242"/>
      <c r="G53" s="242"/>
      <c r="H53" s="1"/>
      <c r="I53" s="1"/>
      <c r="J53" s="227"/>
      <c r="K53" s="228"/>
      <c r="L53" s="228"/>
      <c r="M53" s="229"/>
      <c r="N53" s="1"/>
    </row>
    <row r="54" spans="2:14">
      <c r="B54" s="1"/>
      <c r="C54" s="1"/>
      <c r="D54" s="242"/>
      <c r="E54" s="242"/>
      <c r="F54" s="242"/>
      <c r="G54" s="242"/>
      <c r="H54" s="1"/>
      <c r="I54" s="1"/>
      <c r="J54" s="230"/>
      <c r="K54" s="231"/>
      <c r="L54" s="231"/>
      <c r="M54" s="232"/>
      <c r="N54" s="1"/>
    </row>
    <row r="55" spans="2:14" ht="33.75" customHeight="1">
      <c r="B55" s="1"/>
      <c r="C55" s="1"/>
      <c r="D55" s="1"/>
      <c r="E55" s="1"/>
      <c r="F55" s="1"/>
      <c r="G55" s="1"/>
      <c r="H55" s="1"/>
      <c r="I55" s="1"/>
      <c r="J55" s="1"/>
      <c r="K55" s="1"/>
      <c r="L55" s="1"/>
      <c r="M55" s="1"/>
      <c r="N55" s="1"/>
    </row>
    <row r="56" spans="2:14" ht="12.75" customHeight="1">
      <c r="B56" s="1"/>
      <c r="C56" s="233" t="s">
        <v>27</v>
      </c>
      <c r="D56" s="234"/>
      <c r="E56" s="234"/>
      <c r="F56" s="234"/>
      <c r="G56" s="234"/>
      <c r="H56" s="234"/>
      <c r="I56" s="234"/>
      <c r="J56" s="234"/>
      <c r="K56" s="234"/>
      <c r="L56" s="234"/>
      <c r="M56" s="235"/>
      <c r="N56" s="1"/>
    </row>
    <row r="57" spans="2:14">
      <c r="B57" s="1"/>
      <c r="C57" s="236"/>
      <c r="D57" s="237"/>
      <c r="E57" s="237"/>
      <c r="F57" s="237"/>
      <c r="G57" s="237"/>
      <c r="H57" s="237"/>
      <c r="I57" s="237"/>
      <c r="J57" s="237"/>
      <c r="K57" s="237"/>
      <c r="L57" s="237"/>
      <c r="M57" s="238"/>
      <c r="N57" s="1"/>
    </row>
    <row r="58" spans="2:14">
      <c r="B58" s="1"/>
      <c r="C58" s="236"/>
      <c r="D58" s="237"/>
      <c r="E58" s="237"/>
      <c r="F58" s="237"/>
      <c r="G58" s="237"/>
      <c r="H58" s="237"/>
      <c r="I58" s="237"/>
      <c r="J58" s="237"/>
      <c r="K58" s="237"/>
      <c r="L58" s="237"/>
      <c r="M58" s="238"/>
      <c r="N58" s="1"/>
    </row>
    <row r="59" spans="2:14" ht="63" customHeight="1">
      <c r="B59" s="1"/>
      <c r="C59" s="239"/>
      <c r="D59" s="240"/>
      <c r="E59" s="240"/>
      <c r="F59" s="240"/>
      <c r="G59" s="240"/>
      <c r="H59" s="240"/>
      <c r="I59" s="240"/>
      <c r="J59" s="240"/>
      <c r="K59" s="240"/>
      <c r="L59" s="240"/>
      <c r="M59" s="241"/>
      <c r="N59" s="1"/>
    </row>
    <row r="60" spans="2:14" ht="13.5" thickBot="1">
      <c r="B60" s="1"/>
      <c r="C60" s="1"/>
      <c r="D60" s="1"/>
      <c r="E60" s="1"/>
      <c r="F60" s="1"/>
      <c r="G60" s="1"/>
      <c r="H60" s="1"/>
      <c r="I60" s="1"/>
      <c r="J60" s="1"/>
      <c r="K60" s="1"/>
      <c r="L60" s="1"/>
      <c r="M60" s="1"/>
      <c r="N60" s="1"/>
    </row>
    <row r="61" spans="2:14" ht="13.5" thickTop="1">
      <c r="B61" s="1"/>
      <c r="C61" s="243" t="s">
        <v>28</v>
      </c>
      <c r="D61" s="243"/>
      <c r="E61" s="243"/>
      <c r="F61" s="243"/>
      <c r="G61" s="243"/>
      <c r="H61" s="243"/>
      <c r="I61" s="243"/>
      <c r="J61" s="243"/>
      <c r="K61" s="243"/>
      <c r="L61" s="243"/>
      <c r="M61" s="243"/>
      <c r="N61" s="1"/>
    </row>
    <row r="62" spans="2:14" ht="12.75" customHeight="1">
      <c r="B62" s="1"/>
      <c r="C62" s="1"/>
      <c r="D62" s="222"/>
      <c r="E62" s="222"/>
      <c r="F62" s="222"/>
      <c r="G62" s="222"/>
      <c r="H62" s="222"/>
      <c r="I62" s="222"/>
      <c r="J62" s="222"/>
      <c r="K62" s="222"/>
      <c r="L62" s="222"/>
      <c r="M62" s="1"/>
      <c r="N62" s="1"/>
    </row>
    <row r="63" spans="2:14">
      <c r="B63" s="1"/>
      <c r="C63" s="1"/>
      <c r="D63" s="223"/>
      <c r="E63" s="223"/>
      <c r="F63" s="223"/>
      <c r="G63" s="223"/>
      <c r="H63" s="223"/>
      <c r="I63" s="223"/>
      <c r="J63" s="223"/>
      <c r="K63" s="223"/>
      <c r="L63" s="223"/>
      <c r="M63" s="1"/>
      <c r="N63" s="1"/>
    </row>
    <row r="64" spans="2:14">
      <c r="B64" s="1"/>
      <c r="C64" s="1"/>
      <c r="D64" s="223"/>
      <c r="E64" s="223"/>
      <c r="F64" s="223"/>
      <c r="G64" s="223"/>
      <c r="H64" s="223"/>
      <c r="I64" s="223"/>
      <c r="J64" s="223"/>
      <c r="K64" s="223"/>
      <c r="L64" s="223"/>
      <c r="M64" s="1"/>
      <c r="N64" s="1"/>
    </row>
  </sheetData>
  <sheetProtection selectLockedCells="1"/>
  <mergeCells count="24">
    <mergeCell ref="D21:K21"/>
    <mergeCell ref="D20:K20"/>
    <mergeCell ref="H3:K6"/>
    <mergeCell ref="D14:H14"/>
    <mergeCell ref="D16:H16"/>
    <mergeCell ref="D18:K18"/>
    <mergeCell ref="D62:L64"/>
    <mergeCell ref="D43:K43"/>
    <mergeCell ref="D45:K45"/>
    <mergeCell ref="D49:G54"/>
    <mergeCell ref="J52:M54"/>
    <mergeCell ref="C56:M59"/>
    <mergeCell ref="C61:M61"/>
    <mergeCell ref="D41:K41"/>
    <mergeCell ref="D22:K22"/>
    <mergeCell ref="D24:K24"/>
    <mergeCell ref="D25:K25"/>
    <mergeCell ref="D28:K28"/>
    <mergeCell ref="D29:K29"/>
    <mergeCell ref="D30:K30"/>
    <mergeCell ref="D33:K33"/>
    <mergeCell ref="D36:K36"/>
    <mergeCell ref="D37:K37"/>
    <mergeCell ref="D39:K39"/>
  </mergeCells>
  <dataValidations count="9">
    <dataValidation allowBlank="1" showInputMessage="1" showErrorMessage="1" promptTitle="Company Information" prompt="To enter multiple lines in a single cell, use Alt + Enter._x000a__x000a_You can also customize this template with your company information and then save it as a new template for future use.  See the help topics for more information on how to create custom templates." sqref="H3" xr:uid="{D7D6E156-511D-4FFF-9144-EA52DBDA94C0}"/>
    <dataValidation allowBlank="1" showInputMessage="1" showErrorMessage="1" promptTitle="Tax Rate" prompt="To add a tax here, or to change the percentage associated with this tax, enter the tax rate in the cell to the left.  The tax rate will then be automatically calculated." sqref="L49 K48" xr:uid="{800A0566-60DE-4311-AB72-F1231BDC61FC}"/>
    <dataValidation errorStyle="warning" allowBlank="1" showInputMessage="1" errorTitle="Shipping Charge" error="The shaded cells contain formulas and are automatically calculated by Excel. DO NOT enter any information into them." promptTitle="Shipping Charge" prompt="Please enter a shipping charge, if applicable." sqref="M47" xr:uid="{9158DB68-C605-46A2-A78F-A2DA8A98A79D}"/>
    <dataValidation errorStyle="warning" allowBlank="1" showInputMessage="1" errorTitle="Office Use Only" promptTitle="Office Use Only" prompt="Use this block for any information not included elsewhere on this invoice. Either type it right into the sheet or write it into the block after printing." sqref="J52" xr:uid="{FD9823A4-BC14-4A88-AF53-8C8925388353}"/>
    <dataValidation errorStyle="warning" allowBlank="1" showInputMessage="1" errorTitle="State" promptTitle="State" prompt="Enter the state abbreviation into this cell." sqref="F15" xr:uid="{C335BBBA-16AF-47E7-A194-18ED93315248}"/>
    <dataValidation errorStyle="warning" allowBlank="1" showInputMessage="1" errorTitle="Farewell Statement" promptTitle="Farewell Statement" prompt="Enter any parting message for your customers (company slogan, mission statement, etc.) If you do not want a parting message, use Edit|Clear|Contents to remove the existing text." sqref="D62" xr:uid="{B97DA52F-6749-4892-A659-A6F1BE8BA800}"/>
    <dataValidation errorStyle="warning" allowBlank="1" showInputMessage="1" errorTitle="Fine Print" promptTitle="Fine Print" prompt="Type any fine print (disclaimers, warranty information, etc.) here. If you do not wish to include any fine print information on your printed invoices, click on the box and use Edit|Clear|Contents to delete the text which says 'Insert Fine Print Here'." sqref="C56" xr:uid="{D3D61CBD-A166-4E37-9F02-C2971F20199E}"/>
    <dataValidation type="decimal" allowBlank="1" showErrorMessage="1" errorTitle="Unit Price" error="You must enter a number into this cell." promptTitle="Unit Price" sqref="L19:L45" xr:uid="{F2207E85-E80B-4570-B58C-C37EE2452B1B}">
      <formula1>0</formula1>
      <formula2>1000000000</formula2>
    </dataValidation>
    <dataValidation type="whole" errorStyle="warning" allowBlank="1" showErrorMessage="1" errorTitle="Quantity" error="You must enter a number in this cell." promptTitle="Quantity" sqref="C19:C45" xr:uid="{6FBAB585-FE13-4B4B-8907-45CF2CCF6277}">
      <formula1>0</formula1>
      <formula2>1000000000</formula2>
    </dataValidation>
  </dataValidations>
  <printOptions horizontalCentered="1"/>
  <pageMargins left="0.51181102362204722" right="0.51181102362204722" top="0.9055118110236221" bottom="0.51181102362204722" header="0.74803149606299213" footer="0.51181102362204722"/>
  <pageSetup paperSize="9" scale="83"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32</vt:i4>
      </vt:variant>
    </vt:vector>
  </HeadingPairs>
  <TitlesOfParts>
    <vt:vector size="64" baseType="lpstr">
      <vt:lpstr>Invoice</vt:lpstr>
      <vt:lpstr>Invoice 2</vt:lpstr>
      <vt:lpstr>Invoice 3</vt:lpstr>
      <vt:lpstr>Invoice 4</vt:lpstr>
      <vt:lpstr>Invoice 5</vt:lpstr>
      <vt:lpstr>Invoice 6</vt:lpstr>
      <vt:lpstr>Invoice 7</vt:lpstr>
      <vt:lpstr>Invoice 8</vt:lpstr>
      <vt:lpstr>Invoice 9</vt:lpstr>
      <vt:lpstr>Invoice 10</vt:lpstr>
      <vt:lpstr>Invoice 11</vt:lpstr>
      <vt:lpstr>Invoice 12</vt:lpstr>
      <vt:lpstr>Invoice 13</vt:lpstr>
      <vt:lpstr>Invoice 14</vt:lpstr>
      <vt:lpstr>Invoice 15</vt:lpstr>
      <vt:lpstr>Invoice 16</vt:lpstr>
      <vt:lpstr>Invoice 17</vt:lpstr>
      <vt:lpstr>Invoice 18</vt:lpstr>
      <vt:lpstr>Invoice 19</vt:lpstr>
      <vt:lpstr>Invoice 20</vt:lpstr>
      <vt:lpstr>Invoice 21</vt:lpstr>
      <vt:lpstr>Invoice 22</vt:lpstr>
      <vt:lpstr>Invoice 23</vt:lpstr>
      <vt:lpstr>Invoice 24</vt:lpstr>
      <vt:lpstr>Invoice 25</vt:lpstr>
      <vt:lpstr>Invoice 30</vt:lpstr>
      <vt:lpstr>Invoice 31</vt:lpstr>
      <vt:lpstr>Invoice 32</vt:lpstr>
      <vt:lpstr>Invoice 33</vt:lpstr>
      <vt:lpstr>Invoice 34</vt:lpstr>
      <vt:lpstr>Invoice 36</vt:lpstr>
      <vt:lpstr>Invoice 35</vt:lpstr>
      <vt:lpstr>Invoice!Print_Area</vt:lpstr>
      <vt:lpstr>'Invoice 10'!Print_Area</vt:lpstr>
      <vt:lpstr>'Invoice 11'!Print_Area</vt:lpstr>
      <vt:lpstr>'Invoice 12'!Print_Area</vt:lpstr>
      <vt:lpstr>'Invoice 13'!Print_Area</vt:lpstr>
      <vt:lpstr>'Invoice 14'!Print_Area</vt:lpstr>
      <vt:lpstr>'Invoice 15'!Print_Area</vt:lpstr>
      <vt:lpstr>'Invoice 16'!Print_Area</vt:lpstr>
      <vt:lpstr>'Invoice 17'!Print_Area</vt:lpstr>
      <vt:lpstr>'Invoice 18'!Print_Area</vt:lpstr>
      <vt:lpstr>'Invoice 19'!Print_Area</vt:lpstr>
      <vt:lpstr>'Invoice 2'!Print_Area</vt:lpstr>
      <vt:lpstr>'Invoice 20'!Print_Area</vt:lpstr>
      <vt:lpstr>'Invoice 21'!Print_Area</vt:lpstr>
      <vt:lpstr>'Invoice 22'!Print_Area</vt:lpstr>
      <vt:lpstr>'Invoice 23'!Print_Area</vt:lpstr>
      <vt:lpstr>'Invoice 24'!Print_Area</vt:lpstr>
      <vt:lpstr>'Invoice 25'!Print_Area</vt:lpstr>
      <vt:lpstr>'Invoice 3'!Print_Area</vt:lpstr>
      <vt:lpstr>'Invoice 30'!Print_Area</vt:lpstr>
      <vt:lpstr>'Invoice 31'!Print_Area</vt:lpstr>
      <vt:lpstr>'Invoice 32'!Print_Area</vt:lpstr>
      <vt:lpstr>'Invoice 33'!Print_Area</vt:lpstr>
      <vt:lpstr>'Invoice 34'!Print_Area</vt:lpstr>
      <vt:lpstr>'Invoice 35'!Print_Area</vt:lpstr>
      <vt:lpstr>'Invoice 36'!Print_Area</vt:lpstr>
      <vt:lpstr>'Invoice 4'!Print_Area</vt:lpstr>
      <vt:lpstr>'Invoice 5'!Print_Area</vt:lpstr>
      <vt:lpstr>'Invoice 6'!Print_Area</vt:lpstr>
      <vt:lpstr>'Invoice 7'!Print_Area</vt:lpstr>
      <vt:lpstr>'Invoice 8'!Print_Area</vt:lpstr>
      <vt:lpstr>'Invoice 9'!Print_Area</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Christopher Mashiyane</cp:lastModifiedBy>
  <cp:lastPrinted>2026-08-29T09:29:07Z</cp:lastPrinted>
  <dcterms:created xsi:type="dcterms:W3CDTF">2000-03-05T06:03:00Z</dcterms:created>
  <dcterms:modified xsi:type="dcterms:W3CDTF">2026-08-29T09:34:27Z</dcterms:modified>
</cp:coreProperties>
</file>